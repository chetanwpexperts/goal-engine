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Read Me" sheetId="1" state="visible" r:id="rId1"/>
    <sheet name="Tasks" sheetId="2" state="visible" r:id="rId2"/>
    <sheet name="Sales Data" sheetId="3" state="visible" r:id="rId3"/>
    <sheet name="Employee Data" sheetId="4" state="visible" r:id="rId4"/>
    <sheet name="Purchase Data" sheetId="5" state="visible" r:id="rId5"/>
    <sheet name="Inventory" sheetId="6" state="visible" r:id="rId6"/>
    <sheet name="Messy Data" sheetId="7" state="visible" r:id="rId7"/>
    <sheet name="Changes by Goal Engine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\₹#,##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6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pivotButton="0" quotePrefix="0" xfId="0"/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blTasks" displayName="TblTasks" ref="A1:G26" headerRowCount="1">
  <autoFilter ref="A1:G26"/>
  <tableColumns count="7">
    <tableColumn id="1" name="Task No."/>
    <tableColumn id="2" name="Difficulty"/>
    <tableColumn id="3" name="Topic"/>
    <tableColumn id="4" name="Task / Problem"/>
    <tableColumn id="5" name="Suggested Excel feature"/>
    <tableColumn id="6" name="Status"/>
    <tableColumn id="7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SalesData" displayName="TblSalesData" ref="A1:L61" headerRowCount="1">
  <autoFilter ref="A1:L61"/>
  <tableColumns count="12">
    <tableColumn id="1" name="Order ID"/>
    <tableColumn id="2" name="Order Date"/>
    <tableColumn id="3" name="Delivery Date"/>
    <tableColumn id="4" name="Region"/>
    <tableColumn id="5" name="Sales Rep"/>
    <tableColumn id="6" name="Product"/>
    <tableColumn id="7" name="Quantity"/>
    <tableColumn id="8" name="Unit Price"/>
    <tableColumn id="9" name="Discount %"/>
    <tableColumn id="10" name="Sales Amount"/>
    <tableColumn id="11" name="Net Sales"/>
    <tableColumn id="12" name="Order Catego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EmployeeData" displayName="TblEmployeeData" ref="A1:I41" headerRowCount="1">
  <autoFilter ref="A1:I41"/>
  <tableColumns count="9">
    <tableColumn id="1" name="Employee ID"/>
    <tableColumn id="2" name="First Name"/>
    <tableColumn id="3" name="Last Name"/>
    <tableColumn id="4" name="Full Name (Practice)"/>
    <tableColumn id="5" name="Department"/>
    <tableColumn id="6" name="Location"/>
    <tableColumn id="7" name="Joining Date"/>
    <tableColumn id="8" name="Monthly Salary"/>
    <tableColumn id="9" name="Employment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urchaseData" displayName="TblPurchaseData" ref="A1:L41" headerRowCount="1">
  <autoFilter ref="A1:L41"/>
  <tableColumns count="12">
    <tableColumn id="1" name="Purchase ID"/>
    <tableColumn id="2" name="Invoice No."/>
    <tableColumn id="3" name="Invoice Date"/>
    <tableColumn id="4" name="Vendor"/>
    <tableColumn id="5" name="Item Code"/>
    <tableColumn id="6" name="Item Description"/>
    <tableColumn id="7" name="Quantity"/>
    <tableColumn id="8" name="Unit Price"/>
    <tableColumn id="9" name="Tax %"/>
    <tableColumn id="10" name="Tax Amount"/>
    <tableColumn id="11" name="Invoice Total"/>
    <tableColumn id="12" name="Approval 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Inventory" displayName="TblInventory" ref="A1:I7" headerRowCount="1">
  <autoFilter ref="A1:I7"/>
  <tableColumns count="9">
    <tableColumn id="1" name="Item Code"/>
    <tableColumn id="2" name="Item Name"/>
    <tableColumn id="3" name="Opening Stock"/>
    <tableColumn id="4" name="Received"/>
    <tableColumn id="5" name="Issued"/>
    <tableColumn id="6" name="Closing Stock"/>
    <tableColumn id="7" name="Reorder Level"/>
    <tableColumn id="8" name="Target Stock"/>
    <tableColumn id="9" name="Suggested Reorder Q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MessyData" displayName="TblMessyData" ref="A1:F16" headerRowCount="1">
  <autoFilter ref="A1:F16"/>
  <tableColumns count="6">
    <tableColumn id="1" name="Record ID"/>
    <tableColumn id="2" name="Employee Name"/>
    <tableColumn id="3" name="Department"/>
    <tableColumn id="4" name="Email"/>
    <tableColumn id="5" name="City"/>
    <tableColumn id="6" name="Invoice No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0" customWidth="1" min="2" max="2"/>
  </cols>
  <sheetData>
    <row r="1" ht="28" customHeight="1">
      <c r="A1" s="1" t="inlineStr">
        <is>
          <t>EXCEL PRACTICE WORKBOOK</t>
        </is>
      </c>
      <c r="B1" s="2" t="n"/>
    </row>
    <row r="2">
      <c r="A2" s="3" t="inlineStr">
        <is>
          <t>Purpose</t>
        </is>
      </c>
      <c r="B2" s="4" t="inlineStr">
        <is>
          <t>Practice common Excel tasks using realistic sample business data.</t>
        </is>
      </c>
    </row>
    <row r="3">
      <c r="A3" s="3" t="inlineStr">
        <is>
          <t>How to use</t>
        </is>
      </c>
      <c r="B3" s="4" t="inlineStr">
        <is>
          <t>Work through the task sheets. Try formulas, sorting, filtering, conditional formatting, PivotTables, and data cleaning.</t>
        </is>
      </c>
    </row>
    <row r="4">
      <c r="A4" s="3" t="inlineStr">
        <is>
          <t>Important</t>
        </is>
      </c>
      <c r="B4" s="4" t="inlineStr">
        <is>
          <t>The workbook contains practice data only. No real personal or business data is included.</t>
        </is>
      </c>
    </row>
    <row r="5">
      <c r="A5" s="3" t="inlineStr">
        <is>
          <t>Sheets included</t>
        </is>
      </c>
      <c r="B5" s="4" t="inlineStr">
        <is>
          <t>Tasks, Sales Data, Employee Data, Purchase Data, Inventory, Messy Data</t>
        </is>
      </c>
    </row>
    <row r="6">
      <c r="A6" s="3" t="inlineStr">
        <is>
          <t>Tip</t>
        </is>
      </c>
      <c r="B6" s="4" t="inlineStr">
        <is>
          <t>Create a copy before experimenting, so you can always return to the original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tabSelected="1" workbookViewId="0">
      <pane ySplit="1" topLeftCell="A18" activePane="bottomLeft" state="frozen"/>
      <selection pane="bottomLeft" activeCell="D22" sqref="A22:G22"/>
    </sheetView>
  </sheetViews>
  <sheetFormatPr baseColWidth="8" defaultRowHeight="14.5"/>
  <cols>
    <col width="12" customWidth="1" min="1" max="1"/>
    <col width="14" customWidth="1" min="2" max="2"/>
    <col width="24" customWidth="1" min="3" max="3"/>
    <col width="42" customWidth="1" min="4" max="5"/>
    <col width="13" customWidth="1" min="6" max="6"/>
  </cols>
  <sheetData>
    <row r="1" ht="30" customHeight="1">
      <c r="A1" s="2" t="inlineStr">
        <is>
          <t>Task No.</t>
        </is>
      </c>
      <c r="B1" s="2" t="inlineStr">
        <is>
          <t>Difficulty</t>
        </is>
      </c>
      <c r="C1" s="2" t="inlineStr">
        <is>
          <t>Topic</t>
        </is>
      </c>
      <c r="D1" s="2" t="inlineStr">
        <is>
          <t>Task / Problem</t>
        </is>
      </c>
      <c r="E1" s="2" t="inlineStr">
        <is>
          <t>Suggested Excel feature</t>
        </is>
      </c>
      <c r="F1" s="2" t="inlineStr">
        <is>
          <t>Status</t>
        </is>
      </c>
      <c r="G1" t="inlineStr">
        <is>
          <t>Column1</t>
        </is>
      </c>
    </row>
    <row r="2" ht="29" customHeight="1">
      <c r="A2" s="4" t="n">
        <v>1</v>
      </c>
      <c r="B2" s="4" t="inlineStr">
        <is>
          <t>Beginner</t>
        </is>
      </c>
      <c r="C2" s="4" t="inlineStr">
        <is>
          <t>Basic formula</t>
        </is>
      </c>
      <c r="D2" s="4" t="inlineStr">
        <is>
          <t>Calculate line total for each sales row (Quantity × Unit Price).</t>
        </is>
      </c>
      <c r="E2" s="4" t="inlineStr">
        <is>
          <t>Multiplication formula</t>
        </is>
      </c>
      <c r="F2" s="4" t="inlineStr">
        <is>
          <t>Not Started</t>
        </is>
      </c>
    </row>
    <row r="3">
      <c r="A3" s="4" t="n">
        <v>2</v>
      </c>
      <c r="B3" s="4" t="inlineStr">
        <is>
          <t>Beginner</t>
        </is>
      </c>
      <c r="C3" s="4" t="inlineStr">
        <is>
          <t>SUM</t>
        </is>
      </c>
      <c r="D3" s="4" t="inlineStr">
        <is>
          <t>Calculate total sales amount for all records.</t>
        </is>
      </c>
      <c r="E3" s="4" t="inlineStr">
        <is>
          <t>SUM</t>
        </is>
      </c>
      <c r="F3" s="4" t="inlineStr">
        <is>
          <t>Not Started</t>
        </is>
      </c>
    </row>
    <row r="4">
      <c r="A4" s="4" t="n">
        <v>3</v>
      </c>
      <c r="B4" s="4" t="inlineStr">
        <is>
          <t>Beginner</t>
        </is>
      </c>
      <c r="C4" s="4" t="inlineStr">
        <is>
          <t>AVERAGE</t>
        </is>
      </c>
      <c r="D4" s="4" t="inlineStr">
        <is>
          <t>Find the average sales amount per transaction.</t>
        </is>
      </c>
      <c r="E4" s="4" t="inlineStr">
        <is>
          <t>AVERAGE</t>
        </is>
      </c>
      <c r="F4" s="4" t="inlineStr">
        <is>
          <t>Not Started</t>
        </is>
      </c>
    </row>
    <row r="5" ht="29" customHeight="1">
      <c r="A5" s="4" t="n">
        <v>4</v>
      </c>
      <c r="B5" s="4" t="inlineStr">
        <is>
          <t>Beginner</t>
        </is>
      </c>
      <c r="C5" s="4" t="inlineStr">
        <is>
          <t>IF</t>
        </is>
      </c>
      <c r="D5" s="4" t="inlineStr">
        <is>
          <t>Mark each sales transaction as 'High' if amount is at least 10,000; otherwise 'Normal'.</t>
        </is>
      </c>
      <c r="E5" s="4" t="inlineStr">
        <is>
          <t>IF</t>
        </is>
      </c>
      <c r="F5" s="4" t="inlineStr">
        <is>
          <t>Not Started</t>
        </is>
      </c>
    </row>
    <row r="6" ht="29" customHeight="1">
      <c r="A6" s="4" t="n">
        <v>5</v>
      </c>
      <c r="B6" s="4" t="inlineStr">
        <is>
          <t>Beginner</t>
        </is>
      </c>
      <c r="C6" s="4" t="inlineStr">
        <is>
          <t>Text functions</t>
        </is>
      </c>
      <c r="D6" s="4" t="inlineStr">
        <is>
          <t>Combine first and last names into a full name in Employee Data.</t>
        </is>
      </c>
      <c r="E6" s="4" t="inlineStr">
        <is>
          <t>CONCAT / TEXTJOIN</t>
        </is>
      </c>
      <c r="F6" s="4" t="inlineStr">
        <is>
          <t>Not Started</t>
        </is>
      </c>
    </row>
    <row r="7">
      <c r="A7" s="4" t="n">
        <v>6</v>
      </c>
      <c r="B7" s="4" t="inlineStr">
        <is>
          <t>Beginner</t>
        </is>
      </c>
      <c r="C7" s="4" t="inlineStr">
        <is>
          <t>Date formatting</t>
        </is>
      </c>
      <c r="D7" s="4" t="inlineStr">
        <is>
          <t>Display order dates in DD-MMM-YYYY format.</t>
        </is>
      </c>
      <c r="E7" s="4" t="inlineStr">
        <is>
          <t>Format Cells</t>
        </is>
      </c>
      <c r="F7" s="4" t="inlineStr">
        <is>
          <t>Not Started</t>
        </is>
      </c>
    </row>
    <row r="8" ht="29" customHeight="1">
      <c r="A8" s="4" t="n">
        <v>7</v>
      </c>
      <c r="B8" s="4" t="inlineStr">
        <is>
          <t>Intermediate</t>
        </is>
      </c>
      <c r="C8" s="4" t="inlineStr">
        <is>
          <t>SUMIF</t>
        </is>
      </c>
      <c r="D8" s="4" t="inlineStr">
        <is>
          <t>Calculate total sales for each sales representative.</t>
        </is>
      </c>
      <c r="E8" s="4" t="inlineStr">
        <is>
          <t>SUMIF</t>
        </is>
      </c>
      <c r="F8" s="4" t="inlineStr">
        <is>
          <t>Not Started</t>
        </is>
      </c>
    </row>
    <row r="9">
      <c r="A9" s="4" t="n">
        <v>8</v>
      </c>
      <c r="B9" s="4" t="inlineStr">
        <is>
          <t>Intermediate</t>
        </is>
      </c>
      <c r="C9" s="4" t="inlineStr">
        <is>
          <t>COUNTIF</t>
        </is>
      </c>
      <c r="D9" s="4" t="inlineStr">
        <is>
          <t>Count employees in each department.</t>
        </is>
      </c>
      <c r="E9" s="4" t="inlineStr">
        <is>
          <t>COUNTIF</t>
        </is>
      </c>
      <c r="F9" s="4" t="inlineStr">
        <is>
          <t>Not Started</t>
        </is>
      </c>
    </row>
    <row r="10" ht="29" customHeight="1">
      <c r="A10" s="4" t="n">
        <v>9</v>
      </c>
      <c r="B10" s="4" t="inlineStr">
        <is>
          <t>Intermediate</t>
        </is>
      </c>
      <c r="C10" s="4" t="inlineStr">
        <is>
          <t>XLOOKUP / VLOOKUP</t>
        </is>
      </c>
      <c r="D10" s="4" t="inlineStr">
        <is>
          <t>Fetch the unit price from Purchase Data using Item Code.</t>
        </is>
      </c>
      <c r="E10" s="4" t="inlineStr">
        <is>
          <t>XLOOKUP / VLOOKUP</t>
        </is>
      </c>
      <c r="F10" s="4" t="inlineStr">
        <is>
          <t>Not Started</t>
        </is>
      </c>
    </row>
    <row r="11" ht="29" customHeight="1">
      <c r="A11" s="4" t="n">
        <v>10</v>
      </c>
      <c r="B11" s="4" t="inlineStr">
        <is>
          <t>Intermediate</t>
        </is>
      </c>
      <c r="C11" s="4" t="inlineStr">
        <is>
          <t>Conditional formatting</t>
        </is>
      </c>
      <c r="D11" s="4" t="inlineStr">
        <is>
          <t>Highlight inventory items where closing stock is below reorder level.</t>
        </is>
      </c>
      <c r="E11" s="4" t="inlineStr">
        <is>
          <t>Conditional Formatting</t>
        </is>
      </c>
      <c r="F11" s="4" t="inlineStr">
        <is>
          <t>Not Started</t>
        </is>
      </c>
    </row>
    <row r="12" ht="29" customHeight="1">
      <c r="A12" s="4" t="n">
        <v>11</v>
      </c>
      <c r="B12" s="4" t="inlineStr">
        <is>
          <t>Intermediate</t>
        </is>
      </c>
      <c r="C12" s="4" t="inlineStr">
        <is>
          <t>Remove duplicates</t>
        </is>
      </c>
      <c r="D12" s="4" t="inlineStr">
        <is>
          <t>Find and remove duplicate records in Messy Data.</t>
        </is>
      </c>
      <c r="E12" s="4" t="inlineStr">
        <is>
          <t>Remove Duplicates</t>
        </is>
      </c>
      <c r="F12" s="4" t="inlineStr">
        <is>
          <t>Not Started</t>
        </is>
      </c>
    </row>
    <row r="13" ht="29" customHeight="1">
      <c r="A13" s="4" t="n">
        <v>12</v>
      </c>
      <c r="B13" s="4" t="inlineStr">
        <is>
          <t>Intermediate</t>
        </is>
      </c>
      <c r="C13" s="4" t="inlineStr">
        <is>
          <t>Data cleaning</t>
        </is>
      </c>
      <c r="D13" s="4" t="inlineStr">
        <is>
          <t>Standardize inconsistent department names and extra spaces in Messy Data.</t>
        </is>
      </c>
      <c r="E13" s="4" t="inlineStr">
        <is>
          <t>TRIM / SUBSTITUTE / Find &amp; Replace</t>
        </is>
      </c>
      <c r="F13" s="4" t="inlineStr">
        <is>
          <t>Not Started</t>
        </is>
      </c>
    </row>
    <row r="14" ht="29" customHeight="1">
      <c r="A14" s="4" t="n">
        <v>13</v>
      </c>
      <c r="B14" s="4" t="inlineStr">
        <is>
          <t>Intermediate</t>
        </is>
      </c>
      <c r="C14" s="4" t="inlineStr">
        <is>
          <t>IFERROR</t>
        </is>
      </c>
      <c r="D14" s="4" t="inlineStr">
        <is>
          <t>Show 'Not Found' instead of an error when an item code has no match.</t>
        </is>
      </c>
      <c r="E14" s="4" t="inlineStr">
        <is>
          <t>IFERROR + lookup</t>
        </is>
      </c>
      <c r="F14" s="4" t="inlineStr">
        <is>
          <t>Not Started</t>
        </is>
      </c>
    </row>
    <row r="15" ht="29" customHeight="1">
      <c r="A15" s="4" t="n">
        <v>14</v>
      </c>
      <c r="B15" s="4" t="inlineStr">
        <is>
          <t>Intermediate</t>
        </is>
      </c>
      <c r="C15" s="4" t="inlineStr">
        <is>
          <t>Date calculation</t>
        </is>
      </c>
      <c r="D15" s="4" t="inlineStr">
        <is>
          <t>Calculate days between Order Date and Delivery Date in Sales Data.</t>
        </is>
      </c>
      <c r="E15" s="4" t="inlineStr">
        <is>
          <t>DATEDIF / subtraction</t>
        </is>
      </c>
      <c r="F15" s="4" t="inlineStr">
        <is>
          <t>Not Started</t>
        </is>
      </c>
    </row>
    <row r="16" ht="29" customHeight="1">
      <c r="A16" s="4" t="n">
        <v>15</v>
      </c>
      <c r="B16" s="4" t="inlineStr">
        <is>
          <t>Intermediate</t>
        </is>
      </c>
      <c r="C16" s="4" t="inlineStr">
        <is>
          <t>Percentage</t>
        </is>
      </c>
      <c r="D16" s="4" t="inlineStr">
        <is>
          <t>Calculate discount amount and net sales after discount.</t>
        </is>
      </c>
      <c r="E16" s="4" t="inlineStr">
        <is>
          <t>Percentage formulas</t>
        </is>
      </c>
      <c r="F16" s="4" t="inlineStr">
        <is>
          <t>Not Started</t>
        </is>
      </c>
    </row>
    <row r="17">
      <c r="A17" s="4" t="n">
        <v>16</v>
      </c>
      <c r="B17" s="4" t="inlineStr">
        <is>
          <t>Advanced</t>
        </is>
      </c>
      <c r="C17" s="4" t="inlineStr">
        <is>
          <t>PivotTable</t>
        </is>
      </c>
      <c r="D17" s="4" t="inlineStr">
        <is>
          <t>Summarize sales by Region and Product.</t>
        </is>
      </c>
      <c r="E17" s="4" t="inlineStr">
        <is>
          <t>PivotTable</t>
        </is>
      </c>
      <c r="F17" s="4" t="inlineStr">
        <is>
          <t>Not Started</t>
        </is>
      </c>
    </row>
    <row r="18" ht="29" customHeight="1">
      <c r="A18" s="4" t="n">
        <v>17</v>
      </c>
      <c r="B18" s="4" t="inlineStr">
        <is>
          <t>Advanced</t>
        </is>
      </c>
      <c r="C18" s="4" t="inlineStr">
        <is>
          <t>PivotTable</t>
        </is>
      </c>
      <c r="D18" s="4" t="inlineStr">
        <is>
          <t>Summarize employee headcount by Department and Location.</t>
        </is>
      </c>
      <c r="E18" s="4" t="inlineStr">
        <is>
          <t>PivotTable</t>
        </is>
      </c>
      <c r="F18" s="4" t="inlineStr">
        <is>
          <t>Not Started</t>
        </is>
      </c>
    </row>
    <row r="19" ht="29" customHeight="1">
      <c r="A19" s="4" t="n">
        <v>18</v>
      </c>
      <c r="B19" s="4" t="inlineStr">
        <is>
          <t>Advanced</t>
        </is>
      </c>
      <c r="C19" s="4" t="inlineStr">
        <is>
          <t>Dashboard</t>
        </is>
      </c>
      <c r="D19" s="4" t="inlineStr">
        <is>
          <t>Create a simple sales dashboard with total sales, average order value, and top representative.</t>
        </is>
      </c>
      <c r="E19" s="4" t="inlineStr">
        <is>
          <t>PivotTable / charts / KPI cards</t>
        </is>
      </c>
      <c r="F19" s="4" t="inlineStr">
        <is>
          <t>Not Started</t>
        </is>
      </c>
    </row>
    <row r="20" ht="29" customHeight="1">
      <c r="A20" s="4" t="n">
        <v>19</v>
      </c>
      <c r="B20" s="4" t="inlineStr">
        <is>
          <t>Advanced</t>
        </is>
      </c>
      <c r="C20" s="4" t="inlineStr">
        <is>
          <t>Inventory planning</t>
        </is>
      </c>
      <c r="D20" s="4" t="inlineStr">
        <is>
          <t>Calculate suggested reorder quantity to reach target stock level.</t>
        </is>
      </c>
      <c r="E20" s="4" t="inlineStr">
        <is>
          <t>MAX / IF</t>
        </is>
      </c>
      <c r="F20" s="4" t="inlineStr">
        <is>
          <t>Not Started</t>
        </is>
      </c>
    </row>
    <row r="21" ht="29" customHeight="1">
      <c r="A21" s="4" t="n">
        <v>20</v>
      </c>
      <c r="B21" s="4" t="inlineStr">
        <is>
          <t>Advanced</t>
        </is>
      </c>
      <c r="C21" s="4" t="inlineStr">
        <is>
          <t>Data validation</t>
        </is>
      </c>
      <c r="D21" s="4" t="inlineStr">
        <is>
          <t>Create a dropdown list for Status with Pending, Approved, and Rejected.</t>
        </is>
      </c>
      <c r="E21" s="4" t="inlineStr">
        <is>
          <t>Data Validation</t>
        </is>
      </c>
      <c r="F21" s="4" t="inlineStr">
        <is>
          <t>Not Started</t>
        </is>
      </c>
    </row>
    <row r="22" ht="29" customHeight="1">
      <c r="A22" s="4" t="n">
        <v>21</v>
      </c>
      <c r="B22" s="4" t="inlineStr">
        <is>
          <t>Advanced</t>
        </is>
      </c>
      <c r="C22" s="4" t="inlineStr">
        <is>
          <t>Text extraction</t>
        </is>
      </c>
      <c r="D22" s="4" t="inlineStr">
        <is>
          <t>Extract the month and year from each Order Date.</t>
        </is>
      </c>
      <c r="E22" s="4" t="inlineStr">
        <is>
          <t>TEXT / MONTH / YEAR</t>
        </is>
      </c>
      <c r="F22" s="4" t="inlineStr">
        <is>
          <t>Not Started</t>
        </is>
      </c>
    </row>
    <row r="23">
      <c r="A23" s="9" t="n">
        <v>22</v>
      </c>
      <c r="B23" s="9" t="inlineStr">
        <is>
          <t>Advanced</t>
        </is>
      </c>
      <c r="C23" s="9" t="inlineStr">
        <is>
          <t>Duplicate detection</t>
        </is>
      </c>
      <c r="D23" s="9" t="inlineStr">
        <is>
          <t>Flag duplicate invoice numbers in Purchase Data.</t>
        </is>
      </c>
      <c r="E23" s="9" t="inlineStr">
        <is>
          <t>COUNTIF</t>
        </is>
      </c>
      <c r="F23" s="9" t="inlineStr">
        <is>
          <t>Not Started</t>
        </is>
      </c>
      <c r="G23" s="10" t="n"/>
    </row>
    <row r="24" ht="29" customHeight="1">
      <c r="A24" s="9" t="n">
        <v>23</v>
      </c>
      <c r="B24" s="9" t="inlineStr">
        <is>
          <t>Advanced</t>
        </is>
      </c>
      <c r="C24" s="9" t="inlineStr">
        <is>
          <t>What-if analysis</t>
        </is>
      </c>
      <c r="D24" s="9" t="inlineStr">
        <is>
          <t>Estimate sales if quantity increases by 12% and price remains the same.</t>
        </is>
      </c>
      <c r="E24" s="9" t="inlineStr">
        <is>
          <t>What-if / formula</t>
        </is>
      </c>
      <c r="F24" s="9" t="inlineStr">
        <is>
          <t>Not Started</t>
        </is>
      </c>
      <c r="G24" s="10" t="n"/>
    </row>
    <row r="25" ht="29" customHeight="1">
      <c r="A25" s="9" t="n">
        <v>24</v>
      </c>
      <c r="B25" s="9" t="inlineStr">
        <is>
          <t>Advanced</t>
        </is>
      </c>
      <c r="C25" s="9" t="inlineStr">
        <is>
          <t>Formula audit</t>
        </is>
      </c>
      <c r="D25" s="9" t="inlineStr">
        <is>
          <t>Check the data for missing values, negative quantities, and unusual prices.</t>
        </is>
      </c>
      <c r="E25" s="9" t="inlineStr">
        <is>
          <t>Filters / COUNTBLANK / conditional formatting</t>
        </is>
      </c>
      <c r="F25" s="9" t="inlineStr">
        <is>
          <t>Not Started</t>
        </is>
      </c>
      <c r="G25" t="inlineStr">
        <is>
          <t>PIVOTING</t>
        </is>
      </c>
    </row>
    <row r="26">
      <c r="A26" s="4" t="n">
        <v>25</v>
      </c>
      <c r="B26" s="4" t="inlineStr">
        <is>
          <t>Advanced</t>
        </is>
      </c>
      <c r="C26" s="4" t="inlineStr">
        <is>
          <t>Reporting</t>
        </is>
      </c>
      <c r="D26" s="4" t="inlineStr">
        <is>
          <t>Prepare a monthly sales summary and chart.</t>
        </is>
      </c>
      <c r="E26" s="4" t="inlineStr">
        <is>
          <t>SUMIFS / PivotTable / chart</t>
        </is>
      </c>
      <c r="F26" s="4" t="inlineStr">
        <is>
          <t>Not Started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showGridLines="0" workbookViewId="0">
      <pane ySplit="1" topLeftCell="A2" activePane="bottomLeft" state="frozen"/>
      <selection pane="bottomLeft" activeCell="I1" sqref="I1"/>
    </sheetView>
  </sheetViews>
  <sheetFormatPr baseColWidth="8" defaultRowHeight="14.5"/>
  <cols>
    <col width="12" customWidth="1" min="1" max="2"/>
    <col width="15" customWidth="1" min="3" max="3"/>
    <col width="12" customWidth="1" min="4" max="5"/>
    <col width="14" customWidth="1" min="6" max="6"/>
    <col width="12" customWidth="1" min="7" max="9"/>
    <col width="14" customWidth="1" min="10" max="11"/>
    <col width="33" customWidth="1" min="12" max="12"/>
  </cols>
  <sheetData>
    <row r="1" ht="30" customHeight="1">
      <c r="A1" s="2" t="inlineStr">
        <is>
          <t>Order ID</t>
        </is>
      </c>
      <c r="B1" s="2" t="inlineStr">
        <is>
          <t>Order Date</t>
        </is>
      </c>
      <c r="C1" s="2" t="inlineStr">
        <is>
          <t>Delivery Date</t>
        </is>
      </c>
      <c r="D1" s="2" t="inlineStr">
        <is>
          <t>Region</t>
        </is>
      </c>
      <c r="E1" s="2" t="inlineStr">
        <is>
          <t>Sales Rep</t>
        </is>
      </c>
      <c r="F1" s="2" t="inlineStr">
        <is>
          <t>Product</t>
        </is>
      </c>
      <c r="G1" s="2" t="inlineStr">
        <is>
          <t>Quantity</t>
        </is>
      </c>
      <c r="H1" s="2" t="inlineStr">
        <is>
          <t>Unit Price</t>
        </is>
      </c>
      <c r="I1" s="2" t="inlineStr">
        <is>
          <t>Discount %</t>
        </is>
      </c>
      <c r="J1" s="2" t="inlineStr">
        <is>
          <t>Sales Amount</t>
        </is>
      </c>
      <c r="K1" s="2" t="inlineStr">
        <is>
          <t>Net Sales</t>
        </is>
      </c>
      <c r="L1" s="2" t="inlineStr">
        <is>
          <t>Order Category</t>
        </is>
      </c>
    </row>
    <row r="2">
      <c r="A2" s="4" t="inlineStr">
        <is>
          <t>ORD-0001</t>
        </is>
      </c>
      <c r="B2" s="11" t="n">
        <v>46080</v>
      </c>
      <c r="C2" s="11" t="n">
        <v>46081</v>
      </c>
      <c r="D2" s="4" t="inlineStr">
        <is>
          <t>East</t>
        </is>
      </c>
      <c r="E2" s="4" t="inlineStr">
        <is>
          <t>Priya</t>
        </is>
      </c>
      <c r="F2" s="4" t="inlineStr">
        <is>
          <t>Monitor</t>
        </is>
      </c>
      <c r="G2" s="4" t="n">
        <v>3</v>
      </c>
      <c r="H2" s="6" t="n">
        <v>12500</v>
      </c>
      <c r="I2" s="7" t="n">
        <v>0</v>
      </c>
      <c r="J2" s="6">
        <f>G2*H2</f>
        <v/>
      </c>
      <c r="K2" s="6">
        <f>J2*(1-I2)</f>
        <v/>
      </c>
      <c r="L2" s="4">
        <f>IF(K2&gt;=10000,"High","Normal")</f>
        <v/>
      </c>
    </row>
    <row r="3">
      <c r="A3" s="4" t="inlineStr">
        <is>
          <t>ORD-0002</t>
        </is>
      </c>
      <c r="B3" s="11" t="n">
        <v>46302</v>
      </c>
      <c r="C3" s="11" t="n">
        <v>46304</v>
      </c>
      <c r="D3" s="4" t="inlineStr">
        <is>
          <t>West</t>
        </is>
      </c>
      <c r="E3" s="4" t="inlineStr">
        <is>
          <t>Aman</t>
        </is>
      </c>
      <c r="F3" s="4" t="inlineStr">
        <is>
          <t>Laptop</t>
        </is>
      </c>
      <c r="G3" s="4" t="n">
        <v>2</v>
      </c>
      <c r="H3" s="6" t="n">
        <v>42000</v>
      </c>
      <c r="I3" s="7" t="n">
        <v>0.02</v>
      </c>
      <c r="J3" s="6">
        <f>G3*H3</f>
        <v/>
      </c>
      <c r="K3" s="6">
        <f>J3*(1-I3)</f>
        <v/>
      </c>
      <c r="L3" s="4">
        <f>IF(K3&gt;=10000,"High","Normal")</f>
        <v/>
      </c>
    </row>
    <row r="4">
      <c r="A4" s="4" t="inlineStr">
        <is>
          <t>ORD-0003</t>
        </is>
      </c>
      <c r="B4" s="11" t="n">
        <v>46142</v>
      </c>
      <c r="C4" s="11" t="n">
        <v>46151</v>
      </c>
      <c r="D4" s="4" t="inlineStr">
        <is>
          <t>North</t>
        </is>
      </c>
      <c r="E4" s="4" t="inlineStr">
        <is>
          <t>Simran</t>
        </is>
      </c>
      <c r="F4" s="4" t="inlineStr">
        <is>
          <t>Monitor</t>
        </is>
      </c>
      <c r="G4" s="4" t="n">
        <v>7</v>
      </c>
      <c r="H4" s="6" t="n">
        <v>12500</v>
      </c>
      <c r="I4" s="7" t="n">
        <v>0.02</v>
      </c>
      <c r="J4" s="6">
        <f>G4*H4</f>
        <v/>
      </c>
      <c r="K4" s="6">
        <f>J4*(1-I4)</f>
        <v/>
      </c>
      <c r="L4" s="4">
        <f>IF(K4&gt;=10000,"High","Normal")</f>
        <v/>
      </c>
    </row>
    <row r="5">
      <c r="A5" s="4" t="inlineStr">
        <is>
          <t>ORD-0004</t>
        </is>
      </c>
      <c r="B5" s="11" t="n">
        <v>46252</v>
      </c>
      <c r="C5" s="11" t="n">
        <v>46262</v>
      </c>
      <c r="D5" s="4" t="inlineStr">
        <is>
          <t>East</t>
        </is>
      </c>
      <c r="E5" s="4" t="inlineStr">
        <is>
          <t>Aman</t>
        </is>
      </c>
      <c r="F5" s="4" t="inlineStr">
        <is>
          <t>Monitor</t>
        </is>
      </c>
      <c r="G5" s="4" t="n">
        <v>7</v>
      </c>
      <c r="H5" s="6" t="n">
        <v>12500</v>
      </c>
      <c r="I5" s="7" t="n">
        <v>0.05</v>
      </c>
      <c r="J5" s="6">
        <f>G5*H5</f>
        <v/>
      </c>
      <c r="K5" s="6">
        <f>J5*(1-I5)</f>
        <v/>
      </c>
      <c r="L5" s="4">
        <f>IF(K5&gt;=10000,"High","Normal")</f>
        <v/>
      </c>
    </row>
    <row r="6">
      <c r="A6" s="4" t="inlineStr">
        <is>
          <t>ORD-0005</t>
        </is>
      </c>
      <c r="B6" s="11" t="n">
        <v>46165</v>
      </c>
      <c r="C6" s="11" t="n">
        <v>46168</v>
      </c>
      <c r="D6" s="4" t="inlineStr">
        <is>
          <t>South</t>
        </is>
      </c>
      <c r="E6" s="4" t="inlineStr">
        <is>
          <t>Rahul</t>
        </is>
      </c>
      <c r="F6" s="4" t="inlineStr">
        <is>
          <t>Laptop</t>
        </is>
      </c>
      <c r="G6" s="4" t="n">
        <v>2</v>
      </c>
      <c r="H6" s="6" t="n">
        <v>42000</v>
      </c>
      <c r="I6" s="7" t="n">
        <v>0.1</v>
      </c>
      <c r="J6" s="6">
        <f>G6*H6</f>
        <v/>
      </c>
      <c r="K6" s="6">
        <f>J6*(1-I6)</f>
        <v/>
      </c>
      <c r="L6" s="4">
        <f>IF(K6&gt;=10000,"High","Normal")</f>
        <v/>
      </c>
    </row>
    <row r="7">
      <c r="A7" s="4" t="inlineStr">
        <is>
          <t>ORD-0006</t>
        </is>
      </c>
      <c r="B7" s="11" t="n">
        <v>46072</v>
      </c>
      <c r="C7" s="11" t="n">
        <v>46078</v>
      </c>
      <c r="D7" s="4" t="inlineStr">
        <is>
          <t>East</t>
        </is>
      </c>
      <c r="E7" s="4" t="inlineStr">
        <is>
          <t>Simran</t>
        </is>
      </c>
      <c r="F7" s="4" t="inlineStr">
        <is>
          <t>Keyboard</t>
        </is>
      </c>
      <c r="G7" s="4" t="n">
        <v>1</v>
      </c>
      <c r="H7" s="6" t="n">
        <v>900</v>
      </c>
      <c r="I7" s="7" t="n">
        <v>0.1</v>
      </c>
      <c r="J7" s="6">
        <f>G7*H7</f>
        <v/>
      </c>
      <c r="K7" s="6">
        <f>J7*(1-I7)</f>
        <v/>
      </c>
      <c r="L7" s="4">
        <f>IF(K7&gt;=10000,"High","Normal")</f>
        <v/>
      </c>
    </row>
    <row r="8">
      <c r="A8" s="4" t="inlineStr">
        <is>
          <t>ORD-0007</t>
        </is>
      </c>
      <c r="B8" s="11" t="n">
        <v>46297</v>
      </c>
      <c r="C8" s="11" t="n">
        <v>46299</v>
      </c>
      <c r="D8" s="4" t="inlineStr">
        <is>
          <t>West</t>
        </is>
      </c>
      <c r="E8" s="4" t="inlineStr">
        <is>
          <t>Aman</t>
        </is>
      </c>
      <c r="F8" s="4" t="inlineStr">
        <is>
          <t>Router</t>
        </is>
      </c>
      <c r="G8" s="4" t="n">
        <v>5</v>
      </c>
      <c r="H8" s="6" t="n">
        <v>3200</v>
      </c>
      <c r="I8" s="7" t="n">
        <v>0.15</v>
      </c>
      <c r="J8" s="6">
        <f>G8*H8</f>
        <v/>
      </c>
      <c r="K8" s="6">
        <f>J8*(1-I8)</f>
        <v/>
      </c>
      <c r="L8" s="4">
        <f>IF(K8&gt;=10000,"High","Normal")</f>
        <v/>
      </c>
    </row>
    <row r="9">
      <c r="A9" s="4" t="inlineStr">
        <is>
          <t>ORD-0008</t>
        </is>
      </c>
      <c r="B9" s="11" t="n">
        <v>46208</v>
      </c>
      <c r="C9" s="11" t="n">
        <v>46218</v>
      </c>
      <c r="D9" s="4" t="inlineStr">
        <is>
          <t>South</t>
        </is>
      </c>
      <c r="E9" s="4" t="inlineStr">
        <is>
          <t>Vikas</t>
        </is>
      </c>
      <c r="F9" s="4" t="inlineStr">
        <is>
          <t>Laptop</t>
        </is>
      </c>
      <c r="G9" s="4" t="n">
        <v>1</v>
      </c>
      <c r="H9" s="6" t="n">
        <v>42000</v>
      </c>
      <c r="I9" s="7" t="n">
        <v>0.02</v>
      </c>
      <c r="J9" s="6">
        <f>G9*H9</f>
        <v/>
      </c>
      <c r="K9" s="6">
        <f>J9*(1-I9)</f>
        <v/>
      </c>
      <c r="L9" s="4">
        <f>IF(K9&gt;=10000,"High","Normal")</f>
        <v/>
      </c>
    </row>
    <row r="10">
      <c r="A10" s="4" t="inlineStr">
        <is>
          <t>ORD-0009</t>
        </is>
      </c>
      <c r="B10" s="11" t="n">
        <v>46171</v>
      </c>
      <c r="C10" s="11" t="n">
        <v>46173</v>
      </c>
      <c r="D10" s="4" t="inlineStr">
        <is>
          <t>South</t>
        </is>
      </c>
      <c r="E10" s="4" t="inlineStr">
        <is>
          <t>Aman</t>
        </is>
      </c>
      <c r="F10" s="4" t="inlineStr">
        <is>
          <t>Printer</t>
        </is>
      </c>
      <c r="G10" s="4" t="n">
        <v>5</v>
      </c>
      <c r="H10" s="6" t="n">
        <v>14500</v>
      </c>
      <c r="I10" s="7" t="n">
        <v>0.1</v>
      </c>
      <c r="J10" s="6">
        <f>G10*H10</f>
        <v/>
      </c>
      <c r="K10" s="6">
        <f>J10*(1-I10)</f>
        <v/>
      </c>
      <c r="L10" s="4">
        <f>IF(K10&gt;=10000,"High","Normal")</f>
        <v/>
      </c>
    </row>
    <row r="11">
      <c r="A11" s="4" t="inlineStr">
        <is>
          <t>ORD-0010</t>
        </is>
      </c>
      <c r="B11" s="11" t="n">
        <v>46209</v>
      </c>
      <c r="C11" s="11" t="n">
        <v>46212</v>
      </c>
      <c r="D11" s="4" t="inlineStr">
        <is>
          <t>East</t>
        </is>
      </c>
      <c r="E11" s="4" t="inlineStr">
        <is>
          <t>Rahul</t>
        </is>
      </c>
      <c r="F11" s="4" t="inlineStr">
        <is>
          <t>Monitor</t>
        </is>
      </c>
      <c r="G11" s="4" t="n">
        <v>5</v>
      </c>
      <c r="H11" s="6" t="n">
        <v>12500</v>
      </c>
      <c r="I11" s="7" t="n">
        <v>0</v>
      </c>
      <c r="J11" s="6">
        <f>G11*H11</f>
        <v/>
      </c>
      <c r="K11" s="6">
        <f>J11*(1-I11)</f>
        <v/>
      </c>
      <c r="L11" s="4">
        <f>IF(K11&gt;=10000,"High","Normal")</f>
        <v/>
      </c>
    </row>
    <row r="12">
      <c r="A12" s="4" t="inlineStr">
        <is>
          <t>ORD-0011</t>
        </is>
      </c>
      <c r="B12" s="11" t="n">
        <v>46110</v>
      </c>
      <c r="C12" s="11" t="n">
        <v>46119</v>
      </c>
      <c r="D12" s="4" t="inlineStr">
        <is>
          <t>South</t>
        </is>
      </c>
      <c r="E12" s="4" t="inlineStr">
        <is>
          <t>Priya</t>
        </is>
      </c>
      <c r="F12" s="4" t="inlineStr">
        <is>
          <t>Printer</t>
        </is>
      </c>
      <c r="G12" s="4" t="n">
        <v>7</v>
      </c>
      <c r="H12" s="6" t="n">
        <v>14500</v>
      </c>
      <c r="I12" s="7" t="n">
        <v>0.05</v>
      </c>
      <c r="J12" s="6">
        <f>G12*H12</f>
        <v/>
      </c>
      <c r="K12" s="6">
        <f>J12*(1-I12)</f>
        <v/>
      </c>
      <c r="L12" s="4">
        <f>IF(K12&gt;=10000,"High","Normal")</f>
        <v/>
      </c>
    </row>
    <row r="13">
      <c r="A13" s="4" t="inlineStr">
        <is>
          <t>ORD-0012</t>
        </is>
      </c>
      <c r="B13" s="11" t="n">
        <v>46308</v>
      </c>
      <c r="C13" s="11" t="n">
        <v>46312</v>
      </c>
      <c r="D13" s="4" t="inlineStr">
        <is>
          <t>East</t>
        </is>
      </c>
      <c r="E13" s="4" t="inlineStr">
        <is>
          <t>Aman</t>
        </is>
      </c>
      <c r="F13" s="4" t="inlineStr">
        <is>
          <t>Monitor</t>
        </is>
      </c>
      <c r="G13" s="4" t="n">
        <v>1</v>
      </c>
      <c r="H13" s="6" t="n">
        <v>12500</v>
      </c>
      <c r="I13" s="7" t="n">
        <v>0.05</v>
      </c>
      <c r="J13" s="6">
        <f>G13*H13</f>
        <v/>
      </c>
      <c r="K13" s="6">
        <f>J13*(1-I13)</f>
        <v/>
      </c>
      <c r="L13" s="4">
        <f>IF(K13&gt;=10000,"High","Normal")</f>
        <v/>
      </c>
    </row>
    <row r="14">
      <c r="A14" s="4" t="inlineStr">
        <is>
          <t>ORD-0013</t>
        </is>
      </c>
      <c r="B14" s="11" t="n">
        <v>46228</v>
      </c>
      <c r="C14" s="11" t="n">
        <v>46233</v>
      </c>
      <c r="D14" s="4" t="inlineStr">
        <is>
          <t>North</t>
        </is>
      </c>
      <c r="E14" s="4" t="inlineStr">
        <is>
          <t>Priya</t>
        </is>
      </c>
      <c r="F14" s="4" t="inlineStr">
        <is>
          <t>Router</t>
        </is>
      </c>
      <c r="G14" s="4" t="n">
        <v>6</v>
      </c>
      <c r="H14" s="6" t="n">
        <v>3200</v>
      </c>
      <c r="I14" s="7" t="n">
        <v>0.02</v>
      </c>
      <c r="J14" s="6">
        <f>G14*H14</f>
        <v/>
      </c>
      <c r="K14" s="6">
        <f>J14*(1-I14)</f>
        <v/>
      </c>
      <c r="L14" s="4">
        <f>IF(K14&gt;=10000,"High","Normal")</f>
        <v/>
      </c>
    </row>
    <row r="15">
      <c r="A15" s="4" t="inlineStr">
        <is>
          <t>ORD-0014</t>
        </is>
      </c>
      <c r="B15" s="11" t="n">
        <v>46278</v>
      </c>
      <c r="C15" s="11" t="n">
        <v>46285</v>
      </c>
      <c r="D15" s="4" t="inlineStr">
        <is>
          <t>West</t>
        </is>
      </c>
      <c r="E15" s="4" t="inlineStr">
        <is>
          <t>Priya</t>
        </is>
      </c>
      <c r="F15" s="4" t="inlineStr">
        <is>
          <t>Keyboard</t>
        </is>
      </c>
      <c r="G15" s="4" t="n">
        <v>3</v>
      </c>
      <c r="H15" s="6" t="n">
        <v>900</v>
      </c>
      <c r="I15" s="7" t="n">
        <v>0.02</v>
      </c>
      <c r="J15" s="6">
        <f>G15*H15</f>
        <v/>
      </c>
      <c r="K15" s="6">
        <f>J15*(1-I15)</f>
        <v/>
      </c>
      <c r="L15" s="4">
        <f>IF(K15&gt;=10000,"High","Normal")</f>
        <v/>
      </c>
    </row>
    <row r="16">
      <c r="A16" s="4" t="inlineStr">
        <is>
          <t>ORD-0015</t>
        </is>
      </c>
      <c r="B16" s="11" t="n">
        <v>46298</v>
      </c>
      <c r="C16" s="11" t="n">
        <v>46303</v>
      </c>
      <c r="D16" s="4" t="inlineStr">
        <is>
          <t>West</t>
        </is>
      </c>
      <c r="E16" s="4" t="inlineStr">
        <is>
          <t>Simran</t>
        </is>
      </c>
      <c r="F16" s="4" t="inlineStr">
        <is>
          <t>Printer</t>
        </is>
      </c>
      <c r="G16" s="4" t="n">
        <v>6</v>
      </c>
      <c r="H16" s="6" t="n">
        <v>14500</v>
      </c>
      <c r="I16" s="7" t="n">
        <v>0.02</v>
      </c>
      <c r="J16" s="6">
        <f>G16*H16</f>
        <v/>
      </c>
      <c r="K16" s="6">
        <f>J16*(1-I16)</f>
        <v/>
      </c>
      <c r="L16" s="4">
        <f>IF(K16&gt;=10000,"High","Normal")</f>
        <v/>
      </c>
    </row>
    <row r="17">
      <c r="A17" s="4" t="inlineStr">
        <is>
          <t>ORD-0016</t>
        </is>
      </c>
      <c r="B17" s="11" t="n">
        <v>46093</v>
      </c>
      <c r="C17" s="11" t="n">
        <v>46102</v>
      </c>
      <c r="D17" s="4" t="inlineStr">
        <is>
          <t>West</t>
        </is>
      </c>
      <c r="E17" s="4" t="inlineStr">
        <is>
          <t>Aman</t>
        </is>
      </c>
      <c r="F17" s="4" t="inlineStr">
        <is>
          <t>Laptop</t>
        </is>
      </c>
      <c r="G17" s="4" t="n">
        <v>2</v>
      </c>
      <c r="H17" s="6" t="n">
        <v>42000</v>
      </c>
      <c r="I17" s="7" t="n">
        <v>0.02</v>
      </c>
      <c r="J17" s="6">
        <f>G17*H17</f>
        <v/>
      </c>
      <c r="K17" s="6">
        <f>J17*(1-I17)</f>
        <v/>
      </c>
      <c r="L17" s="4">
        <f>IF(K17&gt;=10000,"High","Normal")</f>
        <v/>
      </c>
    </row>
    <row r="18">
      <c r="A18" s="4" t="inlineStr">
        <is>
          <t>ORD-0017</t>
        </is>
      </c>
      <c r="B18" s="11" t="n">
        <v>46104</v>
      </c>
      <c r="C18" s="11" t="n">
        <v>46115</v>
      </c>
      <c r="D18" s="4" t="inlineStr">
        <is>
          <t>West</t>
        </is>
      </c>
      <c r="E18" s="4" t="inlineStr">
        <is>
          <t>Simran</t>
        </is>
      </c>
      <c r="F18" s="4" t="inlineStr">
        <is>
          <t>Laptop</t>
        </is>
      </c>
      <c r="G18" s="4" t="n">
        <v>7</v>
      </c>
      <c r="H18" s="6" t="n">
        <v>42000</v>
      </c>
      <c r="I18" s="7" t="n">
        <v>0.1</v>
      </c>
      <c r="J18" s="6">
        <f>G18*H18</f>
        <v/>
      </c>
      <c r="K18" s="6">
        <f>J18*(1-I18)</f>
        <v/>
      </c>
      <c r="L18" s="4">
        <f>IF(K18&gt;=10000,"High","Normal")</f>
        <v/>
      </c>
    </row>
    <row r="19">
      <c r="A19" s="4" t="inlineStr">
        <is>
          <t>ORD-0018</t>
        </is>
      </c>
      <c r="B19" s="11" t="n">
        <v>46262</v>
      </c>
      <c r="C19" s="11" t="n">
        <v>46271</v>
      </c>
      <c r="D19" s="4" t="inlineStr">
        <is>
          <t>East</t>
        </is>
      </c>
      <c r="E19" s="4" t="inlineStr">
        <is>
          <t>Simran</t>
        </is>
      </c>
      <c r="F19" s="4" t="inlineStr">
        <is>
          <t>Laptop</t>
        </is>
      </c>
      <c r="G19" s="4" t="n">
        <v>2</v>
      </c>
      <c r="H19" s="6" t="n">
        <v>42000</v>
      </c>
      <c r="I19" s="7" t="n">
        <v>0.15</v>
      </c>
      <c r="J19" s="6">
        <f>G19*H19</f>
        <v/>
      </c>
      <c r="K19" s="6">
        <f>J19*(1-I19)</f>
        <v/>
      </c>
      <c r="L19" s="4">
        <f>IF(K19&gt;=10000,"High","Normal")</f>
        <v/>
      </c>
    </row>
    <row r="20">
      <c r="A20" s="4" t="inlineStr">
        <is>
          <t>ORD-0019</t>
        </is>
      </c>
      <c r="B20" s="11" t="n">
        <v>46159</v>
      </c>
      <c r="C20" s="11" t="n">
        <v>46170</v>
      </c>
      <c r="D20" s="4" t="inlineStr">
        <is>
          <t>East</t>
        </is>
      </c>
      <c r="E20" s="4" t="inlineStr">
        <is>
          <t>Aman</t>
        </is>
      </c>
      <c r="F20" s="4" t="inlineStr">
        <is>
          <t>Keyboard</t>
        </is>
      </c>
      <c r="G20" s="4" t="n">
        <v>7</v>
      </c>
      <c r="H20" s="6" t="n">
        <v>900</v>
      </c>
      <c r="I20" s="7" t="n">
        <v>0.02</v>
      </c>
      <c r="J20" s="6">
        <f>G20*H20</f>
        <v/>
      </c>
      <c r="K20" s="6">
        <f>J20*(1-I20)</f>
        <v/>
      </c>
      <c r="L20" s="4">
        <f>IF(K20&gt;=10000,"High","Normal")</f>
        <v/>
      </c>
    </row>
    <row r="21">
      <c r="A21" s="4" t="inlineStr">
        <is>
          <t>ORD-0020</t>
        </is>
      </c>
      <c r="B21" s="11" t="n">
        <v>46255</v>
      </c>
      <c r="C21" s="11" t="n">
        <v>46256</v>
      </c>
      <c r="D21" s="4" t="inlineStr">
        <is>
          <t>East</t>
        </is>
      </c>
      <c r="E21" s="4" t="inlineStr">
        <is>
          <t>Simran</t>
        </is>
      </c>
      <c r="F21" s="4" t="inlineStr">
        <is>
          <t>Monitor</t>
        </is>
      </c>
      <c r="G21" s="4" t="n">
        <v>2</v>
      </c>
      <c r="H21" s="6" t="n">
        <v>12500</v>
      </c>
      <c r="I21" s="7" t="n">
        <v>0.05</v>
      </c>
      <c r="J21" s="6">
        <f>G21*H21</f>
        <v/>
      </c>
      <c r="K21" s="6">
        <f>J21*(1-I21)</f>
        <v/>
      </c>
      <c r="L21" s="4">
        <f>IF(K21&gt;=10000,"High","Normal")</f>
        <v/>
      </c>
    </row>
    <row r="22">
      <c r="A22" s="4" t="inlineStr">
        <is>
          <t>ORD-0021</t>
        </is>
      </c>
      <c r="B22" s="11" t="n">
        <v>46282</v>
      </c>
      <c r="C22" s="11" t="n">
        <v>46292</v>
      </c>
      <c r="D22" s="4" t="inlineStr">
        <is>
          <t>South</t>
        </is>
      </c>
      <c r="E22" s="4" t="inlineStr">
        <is>
          <t>Priya</t>
        </is>
      </c>
      <c r="F22" s="4" t="inlineStr">
        <is>
          <t>Keyboard</t>
        </is>
      </c>
      <c r="G22" s="4" t="n">
        <v>3</v>
      </c>
      <c r="H22" s="6" t="n">
        <v>900</v>
      </c>
      <c r="I22" s="7" t="n">
        <v>0.15</v>
      </c>
      <c r="J22" s="6">
        <f>G22*H22</f>
        <v/>
      </c>
      <c r="K22" s="6">
        <f>J22*(1-I22)</f>
        <v/>
      </c>
      <c r="L22" s="4">
        <f>IF(K22&gt;=10000,"High","Normal")</f>
        <v/>
      </c>
    </row>
    <row r="23">
      <c r="A23" s="4" t="inlineStr">
        <is>
          <t>ORD-0022</t>
        </is>
      </c>
      <c r="B23" s="11" t="n">
        <v>46294</v>
      </c>
      <c r="C23" s="11" t="n">
        <v>46295</v>
      </c>
      <c r="D23" s="4" t="inlineStr">
        <is>
          <t>East</t>
        </is>
      </c>
      <c r="E23" s="4" t="inlineStr">
        <is>
          <t>Neha</t>
        </is>
      </c>
      <c r="F23" s="4" t="inlineStr">
        <is>
          <t>Laptop</t>
        </is>
      </c>
      <c r="G23" s="4" t="n">
        <v>2</v>
      </c>
      <c r="H23" s="6" t="n">
        <v>42000</v>
      </c>
      <c r="I23" s="7" t="n">
        <v>0.05</v>
      </c>
      <c r="J23" s="6">
        <f>G23*H23</f>
        <v/>
      </c>
      <c r="K23" s="6">
        <f>J23*(1-I23)</f>
        <v/>
      </c>
      <c r="L23" s="4">
        <f>IF(K23&gt;=10000,"High","Normal")</f>
        <v/>
      </c>
    </row>
    <row r="24">
      <c r="A24" s="4" t="inlineStr">
        <is>
          <t>ORD-0023</t>
        </is>
      </c>
      <c r="B24" s="11" t="n">
        <v>46180</v>
      </c>
      <c r="C24" s="11" t="n">
        <v>46184</v>
      </c>
      <c r="D24" s="4" t="inlineStr">
        <is>
          <t>North</t>
        </is>
      </c>
      <c r="E24" s="4" t="inlineStr">
        <is>
          <t>Priya</t>
        </is>
      </c>
      <c r="F24" s="4" t="inlineStr">
        <is>
          <t>Router</t>
        </is>
      </c>
      <c r="G24" s="4" t="n">
        <v>2</v>
      </c>
      <c r="H24" s="6" t="n">
        <v>3200</v>
      </c>
      <c r="I24" s="7" t="n">
        <v>0</v>
      </c>
      <c r="J24" s="6">
        <f>G24*H24</f>
        <v/>
      </c>
      <c r="K24" s="6">
        <f>J24*(1-I24)</f>
        <v/>
      </c>
      <c r="L24" s="4">
        <f>IF(K24&gt;=10000,"High","Normal")</f>
        <v/>
      </c>
    </row>
    <row r="25">
      <c r="A25" s="4" t="inlineStr">
        <is>
          <t>ORD-0024</t>
        </is>
      </c>
      <c r="B25" s="11" t="n">
        <v>46271</v>
      </c>
      <c r="C25" s="11" t="n">
        <v>46273</v>
      </c>
      <c r="D25" s="4" t="inlineStr">
        <is>
          <t>South</t>
        </is>
      </c>
      <c r="E25" s="4" t="inlineStr">
        <is>
          <t>Priya</t>
        </is>
      </c>
      <c r="F25" s="4" t="inlineStr">
        <is>
          <t>Office Chair</t>
        </is>
      </c>
      <c r="G25" s="4" t="n">
        <v>8</v>
      </c>
      <c r="H25" s="6" t="n">
        <v>6500</v>
      </c>
      <c r="I25" s="7" t="n">
        <v>0.15</v>
      </c>
      <c r="J25" s="6">
        <f>G25*H25</f>
        <v/>
      </c>
      <c r="K25" s="6">
        <f>J25*(1-I25)</f>
        <v/>
      </c>
      <c r="L25" s="4">
        <f>IF(K25&gt;=10000,"High","Normal")</f>
        <v/>
      </c>
    </row>
    <row r="26">
      <c r="A26" s="4" t="inlineStr">
        <is>
          <t>ORD-0025</t>
        </is>
      </c>
      <c r="B26" s="11" t="n">
        <v>46107</v>
      </c>
      <c r="C26" s="11" t="n">
        <v>46112</v>
      </c>
      <c r="D26" s="4" t="inlineStr">
        <is>
          <t>West</t>
        </is>
      </c>
      <c r="E26" s="4" t="inlineStr">
        <is>
          <t>Priya</t>
        </is>
      </c>
      <c r="F26" s="4" t="inlineStr">
        <is>
          <t>Router</t>
        </is>
      </c>
      <c r="G26" s="4" t="n">
        <v>4</v>
      </c>
      <c r="H26" s="6" t="n">
        <v>3200</v>
      </c>
      <c r="I26" s="7" t="n">
        <v>0.05</v>
      </c>
      <c r="J26" s="6">
        <f>G26*H26</f>
        <v/>
      </c>
      <c r="K26" s="6">
        <f>J26*(1-I26)</f>
        <v/>
      </c>
      <c r="L26" s="4">
        <f>IF(K26&gt;=10000,"High","Normal")</f>
        <v/>
      </c>
    </row>
    <row r="27">
      <c r="A27" s="4" t="inlineStr">
        <is>
          <t>ORD-0026</t>
        </is>
      </c>
      <c r="B27" s="11" t="n">
        <v>46227</v>
      </c>
      <c r="C27" s="11" t="n">
        <v>46238</v>
      </c>
      <c r="D27" s="4" t="inlineStr">
        <is>
          <t>East</t>
        </is>
      </c>
      <c r="E27" s="4" t="inlineStr">
        <is>
          <t>Neha</t>
        </is>
      </c>
      <c r="F27" s="4" t="inlineStr">
        <is>
          <t>Router</t>
        </is>
      </c>
      <c r="G27" s="4" t="n">
        <v>8</v>
      </c>
      <c r="H27" s="6" t="n">
        <v>3200</v>
      </c>
      <c r="I27" s="7" t="n">
        <v>0</v>
      </c>
      <c r="J27" s="6">
        <f>G27*H27</f>
        <v/>
      </c>
      <c r="K27" s="6">
        <f>J27*(1-I27)</f>
        <v/>
      </c>
      <c r="L27" s="4">
        <f>IF(K27&gt;=10000,"High","Normal")</f>
        <v/>
      </c>
    </row>
    <row r="28">
      <c r="A28" s="4" t="inlineStr">
        <is>
          <t>ORD-0027</t>
        </is>
      </c>
      <c r="B28" s="11" t="n">
        <v>46149</v>
      </c>
      <c r="C28" s="11" t="n">
        <v>46153</v>
      </c>
      <c r="D28" s="4" t="inlineStr">
        <is>
          <t>North</t>
        </is>
      </c>
      <c r="E28" s="4" t="inlineStr">
        <is>
          <t>Rahul</t>
        </is>
      </c>
      <c r="F28" s="4" t="inlineStr">
        <is>
          <t>Laptop</t>
        </is>
      </c>
      <c r="G28" s="4" t="n">
        <v>4</v>
      </c>
      <c r="H28" s="6" t="n">
        <v>42000</v>
      </c>
      <c r="I28" s="7" t="n">
        <v>0.15</v>
      </c>
      <c r="J28" s="6">
        <f>G28*H28</f>
        <v/>
      </c>
      <c r="K28" s="6">
        <f>J28*(1-I28)</f>
        <v/>
      </c>
      <c r="L28" s="4">
        <f>IF(K28&gt;=10000,"High","Normal")</f>
        <v/>
      </c>
    </row>
    <row r="29">
      <c r="A29" s="4" t="inlineStr">
        <is>
          <t>ORD-0028</t>
        </is>
      </c>
      <c r="B29" s="11" t="n">
        <v>46135</v>
      </c>
      <c r="C29" s="11" t="n">
        <v>46136</v>
      </c>
      <c r="D29" s="4" t="inlineStr">
        <is>
          <t>North</t>
        </is>
      </c>
      <c r="E29" s="4" t="inlineStr">
        <is>
          <t>Vikas</t>
        </is>
      </c>
      <c r="F29" s="4" t="inlineStr">
        <is>
          <t>Office Chair</t>
        </is>
      </c>
      <c r="G29" s="4" t="n">
        <v>1</v>
      </c>
      <c r="H29" s="6" t="n">
        <v>6500</v>
      </c>
      <c r="I29" s="7" t="n">
        <v>0.02</v>
      </c>
      <c r="J29" s="6">
        <f>G29*H29</f>
        <v/>
      </c>
      <c r="K29" s="6">
        <f>J29*(1-I29)</f>
        <v/>
      </c>
      <c r="L29" s="4">
        <f>IF(K29&gt;=10000,"High","Normal")</f>
        <v/>
      </c>
    </row>
    <row r="30">
      <c r="A30" s="4" t="inlineStr">
        <is>
          <t>ORD-0029</t>
        </is>
      </c>
      <c r="B30" s="11" t="n">
        <v>46057</v>
      </c>
      <c r="C30" s="11" t="n">
        <v>46058</v>
      </c>
      <c r="D30" s="4" t="inlineStr">
        <is>
          <t>East</t>
        </is>
      </c>
      <c r="E30" s="4" t="inlineStr">
        <is>
          <t>Aman</t>
        </is>
      </c>
      <c r="F30" s="4" t="inlineStr">
        <is>
          <t>Router</t>
        </is>
      </c>
      <c r="G30" s="4" t="n">
        <v>4</v>
      </c>
      <c r="H30" s="6" t="n">
        <v>3200</v>
      </c>
      <c r="I30" s="7" t="n">
        <v>0.05</v>
      </c>
      <c r="J30" s="6">
        <f>G30*H30</f>
        <v/>
      </c>
      <c r="K30" s="6">
        <f>J30*(1-I30)</f>
        <v/>
      </c>
      <c r="L30" s="4">
        <f>IF(K30&gt;=10000,"High","Normal")</f>
        <v/>
      </c>
    </row>
    <row r="31">
      <c r="A31" s="4" t="inlineStr">
        <is>
          <t>ORD-0030</t>
        </is>
      </c>
      <c r="B31" s="11" t="n">
        <v>46271</v>
      </c>
      <c r="C31" s="11" t="n">
        <v>46275</v>
      </c>
      <c r="D31" s="4" t="inlineStr">
        <is>
          <t>South</t>
        </is>
      </c>
      <c r="E31" s="4" t="inlineStr">
        <is>
          <t>Vikas</t>
        </is>
      </c>
      <c r="F31" s="4" t="inlineStr">
        <is>
          <t>Router</t>
        </is>
      </c>
      <c r="G31" s="4" t="n">
        <v>8</v>
      </c>
      <c r="H31" s="6" t="n">
        <v>3200</v>
      </c>
      <c r="I31" s="7" t="n">
        <v>0.02</v>
      </c>
      <c r="J31" s="6">
        <f>G31*H31</f>
        <v/>
      </c>
      <c r="K31" s="6">
        <f>J31*(1-I31)</f>
        <v/>
      </c>
      <c r="L31" s="4">
        <f>IF(K31&gt;=10000,"High","Normal")</f>
        <v/>
      </c>
    </row>
    <row r="32">
      <c r="A32" s="4" t="inlineStr">
        <is>
          <t>ORD-0031</t>
        </is>
      </c>
      <c r="B32" s="11" t="n">
        <v>46265</v>
      </c>
      <c r="C32" s="11" t="n">
        <v>46272</v>
      </c>
      <c r="D32" s="4" t="inlineStr">
        <is>
          <t>South</t>
        </is>
      </c>
      <c r="E32" s="4" t="inlineStr">
        <is>
          <t>Aman</t>
        </is>
      </c>
      <c r="F32" s="4" t="inlineStr">
        <is>
          <t>Laptop</t>
        </is>
      </c>
      <c r="G32" s="4" t="n">
        <v>7</v>
      </c>
      <c r="H32" s="6" t="n">
        <v>42000</v>
      </c>
      <c r="I32" s="7" t="n">
        <v>0.05</v>
      </c>
      <c r="J32" s="6">
        <f>G32*H32</f>
        <v/>
      </c>
      <c r="K32" s="6">
        <f>J32*(1-I32)</f>
        <v/>
      </c>
      <c r="L32" s="4">
        <f>IF(K32&gt;=10000,"High","Normal")</f>
        <v/>
      </c>
    </row>
    <row r="33">
      <c r="A33" s="4" t="inlineStr">
        <is>
          <t>ORD-0032</t>
        </is>
      </c>
      <c r="B33" s="11" t="n">
        <v>46239</v>
      </c>
      <c r="C33" s="11" t="n">
        <v>46246</v>
      </c>
      <c r="D33" s="4" t="inlineStr">
        <is>
          <t>West</t>
        </is>
      </c>
      <c r="E33" s="4" t="inlineStr">
        <is>
          <t>Vikas</t>
        </is>
      </c>
      <c r="F33" s="4" t="inlineStr">
        <is>
          <t>Laptop</t>
        </is>
      </c>
      <c r="G33" s="4" t="n">
        <v>2</v>
      </c>
      <c r="H33" s="6" t="n">
        <v>42000</v>
      </c>
      <c r="I33" s="7" t="n">
        <v>0</v>
      </c>
      <c r="J33" s="6">
        <f>G33*H33</f>
        <v/>
      </c>
      <c r="K33" s="6">
        <f>J33*(1-I33)</f>
        <v/>
      </c>
      <c r="L33" s="4">
        <f>IF(K33&gt;=10000,"High","Normal")</f>
        <v/>
      </c>
    </row>
    <row r="34">
      <c r="A34" s="4" t="inlineStr">
        <is>
          <t>ORD-0033</t>
        </is>
      </c>
      <c r="B34" s="11" t="n">
        <v>46229</v>
      </c>
      <c r="C34" s="11" t="n">
        <v>46241</v>
      </c>
      <c r="D34" s="4" t="inlineStr">
        <is>
          <t>East</t>
        </is>
      </c>
      <c r="E34" s="4" t="inlineStr">
        <is>
          <t>Aman</t>
        </is>
      </c>
      <c r="F34" s="4" t="inlineStr">
        <is>
          <t>Monitor</t>
        </is>
      </c>
      <c r="G34" s="4" t="n">
        <v>4</v>
      </c>
      <c r="H34" s="6" t="n">
        <v>12500</v>
      </c>
      <c r="I34" s="7" t="n">
        <v>0.02</v>
      </c>
      <c r="J34" s="6">
        <f>G34*H34</f>
        <v/>
      </c>
      <c r="K34" s="6">
        <f>J34*(1-I34)</f>
        <v/>
      </c>
      <c r="L34" s="4">
        <f>IF(K34&gt;=10000,"High","Normal")</f>
        <v/>
      </c>
    </row>
    <row r="35">
      <c r="A35" s="4" t="inlineStr">
        <is>
          <t>ORD-0034</t>
        </is>
      </c>
      <c r="B35" s="11" t="n">
        <v>46297</v>
      </c>
      <c r="C35" s="11" t="n">
        <v>46305</v>
      </c>
      <c r="D35" s="4" t="inlineStr">
        <is>
          <t>South</t>
        </is>
      </c>
      <c r="E35" s="4" t="inlineStr">
        <is>
          <t>Neha</t>
        </is>
      </c>
      <c r="F35" s="4" t="inlineStr">
        <is>
          <t>Monitor</t>
        </is>
      </c>
      <c r="G35" s="4" t="n">
        <v>5</v>
      </c>
      <c r="H35" s="6" t="n">
        <v>12500</v>
      </c>
      <c r="I35" s="7" t="n">
        <v>0.1</v>
      </c>
      <c r="J35" s="6">
        <f>G35*H35</f>
        <v/>
      </c>
      <c r="K35" s="6">
        <f>J35*(1-I35)</f>
        <v/>
      </c>
      <c r="L35" s="4">
        <f>IF(K35&gt;=10000,"High","Normal")</f>
        <v/>
      </c>
    </row>
    <row r="36">
      <c r="A36" s="4" t="inlineStr">
        <is>
          <t>ORD-0035</t>
        </is>
      </c>
      <c r="B36" s="11" t="n">
        <v>46150</v>
      </c>
      <c r="C36" s="11" t="n">
        <v>46152</v>
      </c>
      <c r="D36" s="4" t="inlineStr">
        <is>
          <t>West</t>
        </is>
      </c>
      <c r="E36" s="4" t="inlineStr">
        <is>
          <t>Simran</t>
        </is>
      </c>
      <c r="F36" s="4" t="inlineStr">
        <is>
          <t>Laptop</t>
        </is>
      </c>
      <c r="G36" s="4" t="n">
        <v>1</v>
      </c>
      <c r="H36" s="6" t="n">
        <v>42000</v>
      </c>
      <c r="I36" s="7" t="n">
        <v>0.15</v>
      </c>
      <c r="J36" s="6">
        <f>G36*H36</f>
        <v/>
      </c>
      <c r="K36" s="6">
        <f>J36*(1-I36)</f>
        <v/>
      </c>
      <c r="L36" s="4">
        <f>IF(K36&gt;=10000,"High","Normal")</f>
        <v/>
      </c>
    </row>
    <row r="37">
      <c r="A37" s="4" t="inlineStr">
        <is>
          <t>ORD-0036</t>
        </is>
      </c>
      <c r="B37" s="11" t="n">
        <v>46030</v>
      </c>
      <c r="C37" s="11" t="n">
        <v>46032</v>
      </c>
      <c r="D37" s="4" t="inlineStr">
        <is>
          <t>South</t>
        </is>
      </c>
      <c r="E37" s="4" t="inlineStr">
        <is>
          <t>Priya</t>
        </is>
      </c>
      <c r="F37" s="4" t="inlineStr">
        <is>
          <t>Printer</t>
        </is>
      </c>
      <c r="G37" s="4" t="n">
        <v>8</v>
      </c>
      <c r="H37" s="6" t="n">
        <v>14500</v>
      </c>
      <c r="I37" s="7" t="n">
        <v>0.1</v>
      </c>
      <c r="J37" s="6">
        <f>G37*H37</f>
        <v/>
      </c>
      <c r="K37" s="6">
        <f>J37*(1-I37)</f>
        <v/>
      </c>
      <c r="L37" s="4">
        <f>IF(K37&gt;=10000,"High","Normal")</f>
        <v/>
      </c>
    </row>
    <row r="38">
      <c r="A38" s="4" t="inlineStr">
        <is>
          <t>ORD-0037</t>
        </is>
      </c>
      <c r="B38" s="11" t="n">
        <v>46132</v>
      </c>
      <c r="C38" s="11" t="n">
        <v>46139</v>
      </c>
      <c r="D38" s="4" t="inlineStr">
        <is>
          <t>North</t>
        </is>
      </c>
      <c r="E38" s="4" t="inlineStr">
        <is>
          <t>Priya</t>
        </is>
      </c>
      <c r="F38" s="4" t="inlineStr">
        <is>
          <t>Printer</t>
        </is>
      </c>
      <c r="G38" s="4" t="n">
        <v>1</v>
      </c>
      <c r="H38" s="6" t="n">
        <v>14500</v>
      </c>
      <c r="I38" s="7" t="n">
        <v>0.1</v>
      </c>
      <c r="J38" s="6">
        <f>G38*H38</f>
        <v/>
      </c>
      <c r="K38" s="6">
        <f>J38*(1-I38)</f>
        <v/>
      </c>
      <c r="L38" s="4">
        <f>IF(K38&gt;=10000,"High","Normal")</f>
        <v/>
      </c>
    </row>
    <row r="39">
      <c r="A39" s="4" t="inlineStr">
        <is>
          <t>ORD-0038</t>
        </is>
      </c>
      <c r="B39" s="11" t="n">
        <v>46158</v>
      </c>
      <c r="C39" s="11" t="n">
        <v>46166</v>
      </c>
      <c r="D39" s="4" t="inlineStr">
        <is>
          <t>East</t>
        </is>
      </c>
      <c r="E39" s="4" t="inlineStr">
        <is>
          <t>Neha</t>
        </is>
      </c>
      <c r="F39" s="4" t="inlineStr">
        <is>
          <t>Office Chair</t>
        </is>
      </c>
      <c r="G39" s="4" t="n">
        <v>8</v>
      </c>
      <c r="H39" s="6" t="n">
        <v>6500</v>
      </c>
      <c r="I39" s="7" t="n">
        <v>0.02</v>
      </c>
      <c r="J39" s="6">
        <f>G39*H39</f>
        <v/>
      </c>
      <c r="K39" s="6">
        <f>J39*(1-I39)</f>
        <v/>
      </c>
      <c r="L39" s="4">
        <f>IF(K39&gt;=10000,"High","Normal")</f>
        <v/>
      </c>
    </row>
    <row r="40">
      <c r="A40" s="4" t="inlineStr">
        <is>
          <t>ORD-0039</t>
        </is>
      </c>
      <c r="B40" s="11" t="n">
        <v>46120</v>
      </c>
      <c r="C40" s="11" t="n">
        <v>46125</v>
      </c>
      <c r="D40" s="4" t="inlineStr">
        <is>
          <t>South</t>
        </is>
      </c>
      <c r="E40" s="4" t="inlineStr">
        <is>
          <t>Aman</t>
        </is>
      </c>
      <c r="F40" s="4" t="inlineStr">
        <is>
          <t>Router</t>
        </is>
      </c>
      <c r="G40" s="4" t="n">
        <v>1</v>
      </c>
      <c r="H40" s="6" t="n">
        <v>3200</v>
      </c>
      <c r="I40" s="7" t="n">
        <v>0.05</v>
      </c>
      <c r="J40" s="6">
        <f>G40*H40</f>
        <v/>
      </c>
      <c r="K40" s="6">
        <f>J40*(1-I40)</f>
        <v/>
      </c>
      <c r="L40" s="4">
        <f>IF(K40&gt;=10000,"High","Normal")</f>
        <v/>
      </c>
    </row>
    <row r="41">
      <c r="A41" s="4" t="inlineStr">
        <is>
          <t>ORD-0040</t>
        </is>
      </c>
      <c r="B41" s="11" t="n">
        <v>46052</v>
      </c>
      <c r="C41" s="11" t="n">
        <v>46053</v>
      </c>
      <c r="D41" s="4" t="inlineStr">
        <is>
          <t>West</t>
        </is>
      </c>
      <c r="E41" s="4" t="inlineStr">
        <is>
          <t>Simran</t>
        </is>
      </c>
      <c r="F41" s="4" t="inlineStr">
        <is>
          <t>Router</t>
        </is>
      </c>
      <c r="G41" s="4" t="n">
        <v>3</v>
      </c>
      <c r="H41" s="6" t="n">
        <v>3200</v>
      </c>
      <c r="I41" s="7" t="n">
        <v>0</v>
      </c>
      <c r="J41" s="6">
        <f>G41*H41</f>
        <v/>
      </c>
      <c r="K41" s="6">
        <f>J41*(1-I41)</f>
        <v/>
      </c>
      <c r="L41" s="4">
        <f>IF(K41&gt;=10000,"High","Normal")</f>
        <v/>
      </c>
    </row>
    <row r="42">
      <c r="A42" s="4" t="inlineStr">
        <is>
          <t>ORD-0041</t>
        </is>
      </c>
      <c r="B42" s="11" t="n">
        <v>46283</v>
      </c>
      <c r="C42" s="11" t="n">
        <v>46285</v>
      </c>
      <c r="D42" s="4" t="inlineStr">
        <is>
          <t>South</t>
        </is>
      </c>
      <c r="E42" s="4" t="inlineStr">
        <is>
          <t>Aman</t>
        </is>
      </c>
      <c r="F42" s="4" t="inlineStr">
        <is>
          <t>Router</t>
        </is>
      </c>
      <c r="G42" s="4" t="n">
        <v>2</v>
      </c>
      <c r="H42" s="6" t="n">
        <v>3200</v>
      </c>
      <c r="I42" s="7" t="n">
        <v>0.02</v>
      </c>
      <c r="J42" s="6">
        <f>G42*H42</f>
        <v/>
      </c>
      <c r="K42" s="6">
        <f>J42*(1-I42)</f>
        <v/>
      </c>
      <c r="L42" s="4">
        <f>IF(K42&gt;=10000,"High","Normal")</f>
        <v/>
      </c>
    </row>
    <row r="43">
      <c r="A43" s="4" t="inlineStr">
        <is>
          <t>ORD-0042</t>
        </is>
      </c>
      <c r="B43" s="11" t="n">
        <v>46229</v>
      </c>
      <c r="C43" s="11" t="n">
        <v>46231</v>
      </c>
      <c r="D43" s="4" t="inlineStr">
        <is>
          <t>South</t>
        </is>
      </c>
      <c r="E43" s="4" t="inlineStr">
        <is>
          <t>Simran</t>
        </is>
      </c>
      <c r="F43" s="4" t="inlineStr">
        <is>
          <t>Router</t>
        </is>
      </c>
      <c r="G43" s="4" t="n">
        <v>1</v>
      </c>
      <c r="H43" s="6" t="n">
        <v>3200</v>
      </c>
      <c r="I43" s="7" t="n">
        <v>0.15</v>
      </c>
      <c r="J43" s="6">
        <f>G43*H43</f>
        <v/>
      </c>
      <c r="K43" s="6">
        <f>J43*(1-I43)</f>
        <v/>
      </c>
      <c r="L43" s="4">
        <f>IF(K43&gt;=10000,"High","Normal")</f>
        <v/>
      </c>
    </row>
    <row r="44">
      <c r="A44" s="4" t="inlineStr">
        <is>
          <t>ORD-0043</t>
        </is>
      </c>
      <c r="B44" s="11" t="n">
        <v>46064</v>
      </c>
      <c r="C44" s="11" t="n">
        <v>46071</v>
      </c>
      <c r="D44" s="4" t="inlineStr">
        <is>
          <t>East</t>
        </is>
      </c>
      <c r="E44" s="4" t="inlineStr">
        <is>
          <t>Rahul</t>
        </is>
      </c>
      <c r="F44" s="4" t="inlineStr">
        <is>
          <t>Monitor</t>
        </is>
      </c>
      <c r="G44" s="4" t="n">
        <v>6</v>
      </c>
      <c r="H44" s="6" t="n">
        <v>12500</v>
      </c>
      <c r="I44" s="7" t="n">
        <v>0.02</v>
      </c>
      <c r="J44" s="6">
        <f>G44*H44</f>
        <v/>
      </c>
      <c r="K44" s="6">
        <f>J44*(1-I44)</f>
        <v/>
      </c>
      <c r="L44" s="4">
        <f>IF(K44&gt;=10000,"High","Normal")</f>
        <v/>
      </c>
    </row>
    <row r="45">
      <c r="A45" s="4" t="inlineStr">
        <is>
          <t>ORD-0044</t>
        </is>
      </c>
      <c r="B45" s="11" t="n">
        <v>46158</v>
      </c>
      <c r="C45" s="11" t="n">
        <v>46165</v>
      </c>
      <c r="D45" s="4" t="inlineStr">
        <is>
          <t>South</t>
        </is>
      </c>
      <c r="E45" s="4" t="inlineStr">
        <is>
          <t>Vikas</t>
        </is>
      </c>
      <c r="F45" s="4" t="inlineStr">
        <is>
          <t>Office Chair</t>
        </is>
      </c>
      <c r="G45" s="4" t="n">
        <v>5</v>
      </c>
      <c r="H45" s="6" t="n">
        <v>6500</v>
      </c>
      <c r="I45" s="7" t="n">
        <v>0.1</v>
      </c>
      <c r="J45" s="6">
        <f>G45*H45</f>
        <v/>
      </c>
      <c r="K45" s="6">
        <f>J45*(1-I45)</f>
        <v/>
      </c>
      <c r="L45" s="4">
        <f>IF(K45&gt;=10000,"High","Normal")</f>
        <v/>
      </c>
    </row>
    <row r="46">
      <c r="A46" s="4" t="inlineStr">
        <is>
          <t>ORD-0045</t>
        </is>
      </c>
      <c r="B46" s="11" t="n">
        <v>46184</v>
      </c>
      <c r="C46" s="11" t="n">
        <v>46186</v>
      </c>
      <c r="D46" s="4" t="inlineStr">
        <is>
          <t>North</t>
        </is>
      </c>
      <c r="E46" s="4" t="inlineStr">
        <is>
          <t>Neha</t>
        </is>
      </c>
      <c r="F46" s="4" t="inlineStr">
        <is>
          <t>Router</t>
        </is>
      </c>
      <c r="G46" s="4" t="n">
        <v>2</v>
      </c>
      <c r="H46" s="6" t="n">
        <v>3200</v>
      </c>
      <c r="I46" s="7" t="n">
        <v>0</v>
      </c>
      <c r="J46" s="6">
        <f>G46*H46</f>
        <v/>
      </c>
      <c r="K46" s="6">
        <f>J46*(1-I46)</f>
        <v/>
      </c>
      <c r="L46" s="4">
        <f>IF(K46&gt;=10000,"High","Normal")</f>
        <v/>
      </c>
    </row>
    <row r="47">
      <c r="A47" s="4" t="inlineStr">
        <is>
          <t>ORD-0046</t>
        </is>
      </c>
      <c r="B47" s="11" t="n">
        <v>46298</v>
      </c>
      <c r="C47" s="11" t="n">
        <v>46302</v>
      </c>
      <c r="D47" s="4" t="inlineStr">
        <is>
          <t>East</t>
        </is>
      </c>
      <c r="E47" s="4" t="inlineStr">
        <is>
          <t>Priya</t>
        </is>
      </c>
      <c r="F47" s="4" t="inlineStr">
        <is>
          <t>Keyboard</t>
        </is>
      </c>
      <c r="G47" s="4" t="n">
        <v>2</v>
      </c>
      <c r="H47" s="6" t="n">
        <v>900</v>
      </c>
      <c r="I47" s="7" t="n">
        <v>0.02</v>
      </c>
      <c r="J47" s="6">
        <f>G47*H47</f>
        <v/>
      </c>
      <c r="K47" s="6">
        <f>J47*(1-I47)</f>
        <v/>
      </c>
      <c r="L47" s="4">
        <f>IF(K47&gt;=10000,"High","Normal")</f>
        <v/>
      </c>
    </row>
    <row r="48">
      <c r="A48" s="4" t="inlineStr">
        <is>
          <t>ORD-0047</t>
        </is>
      </c>
      <c r="B48" s="11" t="n">
        <v>46212</v>
      </c>
      <c r="C48" s="11" t="n">
        <v>46217</v>
      </c>
      <c r="D48" s="4" t="inlineStr">
        <is>
          <t>South</t>
        </is>
      </c>
      <c r="E48" s="4" t="inlineStr">
        <is>
          <t>Neha</t>
        </is>
      </c>
      <c r="F48" s="4" t="inlineStr">
        <is>
          <t>Router</t>
        </is>
      </c>
      <c r="G48" s="4" t="n">
        <v>5</v>
      </c>
      <c r="H48" s="6" t="n">
        <v>3200</v>
      </c>
      <c r="I48" s="7" t="n">
        <v>0.15</v>
      </c>
      <c r="J48" s="6">
        <f>G48*H48</f>
        <v/>
      </c>
      <c r="K48" s="6">
        <f>J48*(1-I48)</f>
        <v/>
      </c>
      <c r="L48" s="4">
        <f>IF(K48&gt;=10000,"High","Normal")</f>
        <v/>
      </c>
    </row>
    <row r="49">
      <c r="A49" s="4" t="inlineStr">
        <is>
          <t>ORD-0048</t>
        </is>
      </c>
      <c r="B49" s="11" t="n">
        <v>46293</v>
      </c>
      <c r="C49" s="11" t="n">
        <v>46294</v>
      </c>
      <c r="D49" s="4" t="inlineStr">
        <is>
          <t>East</t>
        </is>
      </c>
      <c r="E49" s="4" t="inlineStr">
        <is>
          <t>Vikas</t>
        </is>
      </c>
      <c r="F49" s="4" t="inlineStr">
        <is>
          <t>Laptop</t>
        </is>
      </c>
      <c r="G49" s="4" t="n">
        <v>3</v>
      </c>
      <c r="H49" s="6" t="n">
        <v>42000</v>
      </c>
      <c r="I49" s="7" t="n">
        <v>0.05</v>
      </c>
      <c r="J49" s="6">
        <f>G49*H49</f>
        <v/>
      </c>
      <c r="K49" s="6">
        <f>J49*(1-I49)</f>
        <v/>
      </c>
      <c r="L49" s="4">
        <f>IF(K49&gt;=10000,"High","Normal")</f>
        <v/>
      </c>
    </row>
    <row r="50">
      <c r="A50" s="4" t="inlineStr">
        <is>
          <t>ORD-0049</t>
        </is>
      </c>
      <c r="B50" s="11" t="n">
        <v>46082</v>
      </c>
      <c r="C50" s="11" t="n">
        <v>46084</v>
      </c>
      <c r="D50" s="4" t="inlineStr">
        <is>
          <t>South</t>
        </is>
      </c>
      <c r="E50" s="4" t="inlineStr">
        <is>
          <t>Rahul</t>
        </is>
      </c>
      <c r="F50" s="4" t="inlineStr">
        <is>
          <t>Keyboard</t>
        </is>
      </c>
      <c r="G50" s="4" t="n">
        <v>4</v>
      </c>
      <c r="H50" s="6" t="n">
        <v>900</v>
      </c>
      <c r="I50" s="7" t="n">
        <v>0.05</v>
      </c>
      <c r="J50" s="6">
        <f>G50*H50</f>
        <v/>
      </c>
      <c r="K50" s="6">
        <f>J50*(1-I50)</f>
        <v/>
      </c>
      <c r="L50" s="4">
        <f>IF(K50&gt;=10000,"High","Normal")</f>
        <v/>
      </c>
    </row>
    <row r="51">
      <c r="A51" s="4" t="inlineStr">
        <is>
          <t>ORD-0050</t>
        </is>
      </c>
      <c r="B51" s="11" t="n">
        <v>46127</v>
      </c>
      <c r="C51" s="11" t="n">
        <v>46138</v>
      </c>
      <c r="D51" s="4" t="inlineStr">
        <is>
          <t>East</t>
        </is>
      </c>
      <c r="E51" s="4" t="inlineStr">
        <is>
          <t>Simran</t>
        </is>
      </c>
      <c r="F51" s="4" t="inlineStr">
        <is>
          <t>Printer</t>
        </is>
      </c>
      <c r="G51" s="4" t="n">
        <v>5</v>
      </c>
      <c r="H51" s="6" t="n">
        <v>14500</v>
      </c>
      <c r="I51" s="7" t="n">
        <v>0</v>
      </c>
      <c r="J51" s="6">
        <f>G51*H51</f>
        <v/>
      </c>
      <c r="K51" s="6">
        <f>J51*(1-I51)</f>
        <v/>
      </c>
      <c r="L51" s="4">
        <f>IF(K51&gt;=10000,"High","Normal")</f>
        <v/>
      </c>
    </row>
    <row r="52">
      <c r="A52" s="4" t="inlineStr">
        <is>
          <t>ORD-0051</t>
        </is>
      </c>
      <c r="B52" s="11" t="n">
        <v>46070</v>
      </c>
      <c r="C52" s="11" t="n">
        <v>46081</v>
      </c>
      <c r="D52" s="4" t="inlineStr">
        <is>
          <t>West</t>
        </is>
      </c>
      <c r="E52" s="4" t="inlineStr">
        <is>
          <t>Rahul</t>
        </is>
      </c>
      <c r="F52" s="4" t="inlineStr">
        <is>
          <t>Laptop</t>
        </is>
      </c>
      <c r="G52" s="4" t="n">
        <v>1</v>
      </c>
      <c r="H52" s="6" t="n">
        <v>42000</v>
      </c>
      <c r="I52" s="7" t="n">
        <v>0.05</v>
      </c>
      <c r="J52" s="6">
        <f>G52*H52</f>
        <v/>
      </c>
      <c r="K52" s="6">
        <f>J52*(1-I52)</f>
        <v/>
      </c>
      <c r="L52" s="4">
        <f>IF(K52&gt;=10000,"High","Normal")</f>
        <v/>
      </c>
    </row>
    <row r="53">
      <c r="A53" s="4" t="inlineStr">
        <is>
          <t>ORD-0052</t>
        </is>
      </c>
      <c r="B53" s="11" t="n">
        <v>46089</v>
      </c>
      <c r="C53" s="11" t="n">
        <v>46100</v>
      </c>
      <c r="D53" s="4" t="inlineStr">
        <is>
          <t>East</t>
        </is>
      </c>
      <c r="E53" s="4" t="inlineStr">
        <is>
          <t>Priya</t>
        </is>
      </c>
      <c r="F53" s="4" t="inlineStr">
        <is>
          <t>Office Chair</t>
        </is>
      </c>
      <c r="G53" s="4" t="n">
        <v>8</v>
      </c>
      <c r="H53" s="6" t="n">
        <v>6500</v>
      </c>
      <c r="I53" s="7" t="n">
        <v>0.15</v>
      </c>
      <c r="J53" s="6">
        <f>G53*H53</f>
        <v/>
      </c>
      <c r="K53" s="6">
        <f>J53*(1-I53)</f>
        <v/>
      </c>
      <c r="L53" s="4">
        <f>IF(K53&gt;=10000,"High","Normal")</f>
        <v/>
      </c>
    </row>
    <row r="54">
      <c r="A54" s="4" t="inlineStr">
        <is>
          <t>ORD-0053</t>
        </is>
      </c>
      <c r="B54" s="11" t="n">
        <v>46241</v>
      </c>
      <c r="C54" s="11" t="n">
        <v>46250</v>
      </c>
      <c r="D54" s="4" t="inlineStr">
        <is>
          <t>North</t>
        </is>
      </c>
      <c r="E54" s="4" t="inlineStr">
        <is>
          <t>Aman</t>
        </is>
      </c>
      <c r="F54" s="4" t="inlineStr">
        <is>
          <t>Laptop</t>
        </is>
      </c>
      <c r="G54" s="4" t="n">
        <v>3</v>
      </c>
      <c r="H54" s="6" t="n">
        <v>42000</v>
      </c>
      <c r="I54" s="7" t="n">
        <v>0.15</v>
      </c>
      <c r="J54" s="6">
        <f>G54*H54</f>
        <v/>
      </c>
      <c r="K54" s="6">
        <f>J54*(1-I54)</f>
        <v/>
      </c>
      <c r="L54" s="4">
        <f>IF(K54&gt;=10000,"High","Normal")</f>
        <v/>
      </c>
    </row>
    <row r="55">
      <c r="A55" s="4" t="inlineStr">
        <is>
          <t>ORD-0054</t>
        </is>
      </c>
      <c r="B55" s="11" t="n">
        <v>46041</v>
      </c>
      <c r="C55" s="11" t="n">
        <v>46047</v>
      </c>
      <c r="D55" s="4" t="inlineStr">
        <is>
          <t>South</t>
        </is>
      </c>
      <c r="E55" s="4" t="inlineStr">
        <is>
          <t>Neha</t>
        </is>
      </c>
      <c r="F55" s="4" t="inlineStr">
        <is>
          <t>Monitor</t>
        </is>
      </c>
      <c r="G55" s="4" t="n">
        <v>1</v>
      </c>
      <c r="H55" s="6" t="n">
        <v>12500</v>
      </c>
      <c r="I55" s="7" t="n">
        <v>0.05</v>
      </c>
      <c r="J55" s="6">
        <f>G55*H55</f>
        <v/>
      </c>
      <c r="K55" s="6">
        <f>J55*(1-I55)</f>
        <v/>
      </c>
      <c r="L55" s="4">
        <f>IF(K55&gt;=10000,"High","Normal")</f>
        <v/>
      </c>
    </row>
    <row r="56">
      <c r="A56" s="4" t="inlineStr">
        <is>
          <t>ORD-0055</t>
        </is>
      </c>
      <c r="B56" s="11" t="n">
        <v>46209</v>
      </c>
      <c r="C56" s="11" t="n">
        <v>46210</v>
      </c>
      <c r="D56" s="4" t="inlineStr">
        <is>
          <t>East</t>
        </is>
      </c>
      <c r="E56" s="4" t="inlineStr">
        <is>
          <t>Priya</t>
        </is>
      </c>
      <c r="F56" s="4" t="inlineStr">
        <is>
          <t>Office Chair</t>
        </is>
      </c>
      <c r="G56" s="4" t="n">
        <v>4</v>
      </c>
      <c r="H56" s="6" t="n">
        <v>6500</v>
      </c>
      <c r="I56" s="7" t="n">
        <v>0</v>
      </c>
      <c r="J56" s="6">
        <f>G56*H56</f>
        <v/>
      </c>
      <c r="K56" s="6">
        <f>J56*(1-I56)</f>
        <v/>
      </c>
      <c r="L56" s="4">
        <f>IF(K56&gt;=10000,"High","Normal")</f>
        <v/>
      </c>
    </row>
    <row r="57">
      <c r="A57" s="4" t="inlineStr">
        <is>
          <t>ORD-0056</t>
        </is>
      </c>
      <c r="B57" s="11" t="n">
        <v>46204</v>
      </c>
      <c r="C57" s="11" t="n">
        <v>46213</v>
      </c>
      <c r="D57" s="4" t="inlineStr">
        <is>
          <t>West</t>
        </is>
      </c>
      <c r="E57" s="4" t="inlineStr">
        <is>
          <t>Simran</t>
        </is>
      </c>
      <c r="F57" s="4" t="inlineStr">
        <is>
          <t>Office Chair</t>
        </is>
      </c>
      <c r="G57" s="4" t="n">
        <v>3</v>
      </c>
      <c r="H57" s="6" t="n">
        <v>6500</v>
      </c>
      <c r="I57" s="7" t="n">
        <v>0.02</v>
      </c>
      <c r="J57" s="6">
        <f>G57*H57</f>
        <v/>
      </c>
      <c r="K57" s="6">
        <f>J57*(1-I57)</f>
        <v/>
      </c>
      <c r="L57" s="4">
        <f>IF(K57&gt;=10000,"High","Normal")</f>
        <v/>
      </c>
    </row>
    <row r="58">
      <c r="A58" s="4" t="inlineStr">
        <is>
          <t>ORD-0057</t>
        </is>
      </c>
      <c r="B58" s="11" t="n">
        <v>46106</v>
      </c>
      <c r="C58" s="11" t="n">
        <v>46109</v>
      </c>
      <c r="D58" s="4" t="inlineStr">
        <is>
          <t>West</t>
        </is>
      </c>
      <c r="E58" s="4" t="inlineStr">
        <is>
          <t>Aman</t>
        </is>
      </c>
      <c r="F58" s="4" t="inlineStr">
        <is>
          <t>Monitor</t>
        </is>
      </c>
      <c r="G58" s="4" t="n">
        <v>6</v>
      </c>
      <c r="H58" s="6" t="n">
        <v>12500</v>
      </c>
      <c r="I58" s="7" t="n">
        <v>0.1</v>
      </c>
      <c r="J58" s="6">
        <f>G58*H58</f>
        <v/>
      </c>
      <c r="K58" s="6">
        <f>J58*(1-I58)</f>
        <v/>
      </c>
      <c r="L58" s="4">
        <f>IF(K58&gt;=10000,"High","Normal")</f>
        <v/>
      </c>
    </row>
    <row r="59">
      <c r="A59" s="4" t="inlineStr">
        <is>
          <t>ORD-0058</t>
        </is>
      </c>
      <c r="B59" s="11" t="n">
        <v>46150</v>
      </c>
      <c r="C59" s="11" t="n">
        <v>46155</v>
      </c>
      <c r="D59" s="4" t="inlineStr">
        <is>
          <t>South</t>
        </is>
      </c>
      <c r="E59" s="4" t="inlineStr">
        <is>
          <t>Vikas</t>
        </is>
      </c>
      <c r="F59" s="4" t="inlineStr">
        <is>
          <t>Laptop</t>
        </is>
      </c>
      <c r="G59" s="4" t="n">
        <v>7</v>
      </c>
      <c r="H59" s="6" t="n">
        <v>42000</v>
      </c>
      <c r="I59" s="7" t="n">
        <v>0</v>
      </c>
      <c r="J59" s="6">
        <f>G59*H59</f>
        <v/>
      </c>
      <c r="K59" s="6">
        <f>J59*(1-I59)</f>
        <v/>
      </c>
      <c r="L59" s="4">
        <f>IF(K59&gt;=10000,"High","Normal")</f>
        <v/>
      </c>
    </row>
    <row r="60">
      <c r="A60" s="4" t="inlineStr">
        <is>
          <t>ORD-0059</t>
        </is>
      </c>
      <c r="B60" s="11" t="n">
        <v>46263</v>
      </c>
      <c r="C60" s="11" t="n">
        <v>46267</v>
      </c>
      <c r="D60" s="4" t="inlineStr">
        <is>
          <t>South</t>
        </is>
      </c>
      <c r="E60" s="4" t="inlineStr">
        <is>
          <t>Neha</t>
        </is>
      </c>
      <c r="F60" s="4" t="inlineStr">
        <is>
          <t>Keyboard</t>
        </is>
      </c>
      <c r="G60" s="4" t="n">
        <v>5</v>
      </c>
      <c r="H60" s="6" t="n">
        <v>900</v>
      </c>
      <c r="I60" s="7" t="n">
        <v>0.02</v>
      </c>
      <c r="J60" s="6">
        <f>G60*H60</f>
        <v/>
      </c>
      <c r="K60" s="6">
        <f>J60*(1-I60)</f>
        <v/>
      </c>
      <c r="L60" s="4">
        <f>IF(K60&gt;=10000,"High","Normal")</f>
        <v/>
      </c>
    </row>
    <row r="61">
      <c r="A61" s="4" t="inlineStr">
        <is>
          <t>ORD-0060</t>
        </is>
      </c>
      <c r="B61" s="11" t="n">
        <v>46137</v>
      </c>
      <c r="C61" s="11" t="n">
        <v>46138</v>
      </c>
      <c r="D61" s="4" t="inlineStr">
        <is>
          <t>South</t>
        </is>
      </c>
      <c r="E61" s="4" t="inlineStr">
        <is>
          <t>Neha</t>
        </is>
      </c>
      <c r="F61" s="4" t="inlineStr">
        <is>
          <t>Keyboard</t>
        </is>
      </c>
      <c r="G61" s="4" t="n">
        <v>5</v>
      </c>
      <c r="H61" s="6" t="n">
        <v>900</v>
      </c>
      <c r="I61" s="7" t="n">
        <v>0</v>
      </c>
      <c r="J61" s="6">
        <f>G61*H61</f>
        <v/>
      </c>
      <c r="K61" s="6">
        <f>J61*(1-I61)</f>
        <v/>
      </c>
      <c r="L61" s="4">
        <f>IF(K61&gt;=10000,"High","Normal")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3" customWidth="1" min="1" max="1"/>
    <col width="12" customWidth="1" min="2" max="3"/>
    <col width="22" customWidth="1" min="4" max="4"/>
    <col width="13" customWidth="1" min="5" max="5"/>
    <col width="12" customWidth="1" min="6" max="6"/>
    <col width="14" customWidth="1" min="7" max="7"/>
    <col width="16" customWidth="1" min="8" max="8"/>
    <col width="19" customWidth="1" min="9" max="9"/>
  </cols>
  <sheetData>
    <row r="1" ht="30" customHeight="1">
      <c r="A1" s="2" t="inlineStr">
        <is>
          <t>Employee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Full Name (Practice)</t>
        </is>
      </c>
      <c r="E1" s="2" t="inlineStr">
        <is>
          <t>Department</t>
        </is>
      </c>
      <c r="F1" s="2" t="inlineStr">
        <is>
          <t>Location</t>
        </is>
      </c>
      <c r="G1" s="2" t="inlineStr">
        <is>
          <t>Joining Date</t>
        </is>
      </c>
      <c r="H1" s="2" t="inlineStr">
        <is>
          <t>Monthly Salary</t>
        </is>
      </c>
      <c r="I1" s="2" t="inlineStr">
        <is>
          <t>Employment Status</t>
        </is>
      </c>
    </row>
    <row r="2">
      <c r="A2" s="4" t="inlineStr">
        <is>
          <t>EMP-001</t>
        </is>
      </c>
      <c r="B2" s="4" t="inlineStr">
        <is>
          <t>Vivaan</t>
        </is>
      </c>
      <c r="C2" s="4" t="inlineStr">
        <is>
          <t>Malik</t>
        </is>
      </c>
      <c r="D2" s="4" t="n"/>
      <c r="E2" s="4" t="inlineStr">
        <is>
          <t>Procurement</t>
        </is>
      </c>
      <c r="F2" s="4" t="inlineStr">
        <is>
          <t>Delhi</t>
        </is>
      </c>
      <c r="G2" s="11" t="n">
        <v>45662</v>
      </c>
      <c r="H2" s="12" t="n">
        <v>64000</v>
      </c>
      <c r="I2" s="4" t="inlineStr">
        <is>
          <t>Active</t>
        </is>
      </c>
    </row>
    <row r="3">
      <c r="A3" s="4" t="inlineStr">
        <is>
          <t>EMP-002</t>
        </is>
      </c>
      <c r="B3" s="4" t="inlineStr">
        <is>
          <t>Isha</t>
        </is>
      </c>
      <c r="C3" s="4" t="inlineStr">
        <is>
          <t>Gupta</t>
        </is>
      </c>
      <c r="D3" s="4" t="n"/>
      <c r="E3" s="4" t="inlineStr">
        <is>
          <t>HR</t>
        </is>
      </c>
      <c r="F3" s="4" t="inlineStr">
        <is>
          <t>Panchkula</t>
        </is>
      </c>
      <c r="G3" s="11" t="n">
        <v>43622</v>
      </c>
      <c r="H3" s="12" t="n">
        <v>35000</v>
      </c>
      <c r="I3" s="4" t="inlineStr">
        <is>
          <t>Inactive</t>
        </is>
      </c>
    </row>
    <row r="4">
      <c r="A4" s="4" t="inlineStr">
        <is>
          <t>EMP-003</t>
        </is>
      </c>
      <c r="B4" s="4" t="inlineStr">
        <is>
          <t>Aditi</t>
        </is>
      </c>
      <c r="C4" s="4" t="inlineStr">
        <is>
          <t>Malik</t>
        </is>
      </c>
      <c r="D4" s="4" t="n"/>
      <c r="E4" s="4" t="inlineStr">
        <is>
          <t>Procurement</t>
        </is>
      </c>
      <c r="F4" s="4" t="inlineStr">
        <is>
          <t>Panchkula</t>
        </is>
      </c>
      <c r="G4" s="11" t="n">
        <v>45253</v>
      </c>
      <c r="H4" s="12" t="n">
        <v>87000</v>
      </c>
      <c r="I4" s="4" t="inlineStr">
        <is>
          <t>Active</t>
        </is>
      </c>
    </row>
    <row r="5">
      <c r="A5" s="4" t="inlineStr">
        <is>
          <t>EMP-004</t>
        </is>
      </c>
      <c r="B5" s="4" t="inlineStr">
        <is>
          <t>Dev</t>
        </is>
      </c>
      <c r="C5" s="4" t="inlineStr">
        <is>
          <t>Joshi</t>
        </is>
      </c>
      <c r="D5" s="4" t="n"/>
      <c r="E5" s="4" t="inlineStr">
        <is>
          <t>HR</t>
        </is>
      </c>
      <c r="F5" s="4" t="inlineStr">
        <is>
          <t>Panchkula</t>
        </is>
      </c>
      <c r="G5" s="11" t="n">
        <v>43647</v>
      </c>
      <c r="H5" s="12" t="n">
        <v>77000</v>
      </c>
      <c r="I5" s="4" t="inlineStr">
        <is>
          <t>Active</t>
        </is>
      </c>
    </row>
    <row r="6">
      <c r="A6" s="4" t="inlineStr">
        <is>
          <t>EMP-005</t>
        </is>
      </c>
      <c r="B6" s="4" t="inlineStr">
        <is>
          <t>Ishaan</t>
        </is>
      </c>
      <c r="C6" s="4" t="inlineStr">
        <is>
          <t>Rana</t>
        </is>
      </c>
      <c r="D6" s="4" t="n"/>
      <c r="E6" s="4" t="inlineStr">
        <is>
          <t>Procurement</t>
        </is>
      </c>
      <c r="F6" s="4" t="inlineStr">
        <is>
          <t>Chandigarh</t>
        </is>
      </c>
      <c r="G6" s="11" t="n">
        <v>44957</v>
      </c>
      <c r="H6" s="12" t="n">
        <v>77000</v>
      </c>
      <c r="I6" s="4" t="inlineStr">
        <is>
          <t>Active</t>
        </is>
      </c>
    </row>
    <row r="7">
      <c r="A7" s="4" t="inlineStr">
        <is>
          <t>EMP-006</t>
        </is>
      </c>
      <c r="B7" s="4" t="inlineStr">
        <is>
          <t>Karan</t>
        </is>
      </c>
      <c r="C7" s="4" t="inlineStr">
        <is>
          <t>Joshi</t>
        </is>
      </c>
      <c r="D7" s="4" t="n"/>
      <c r="E7" s="4" t="inlineStr">
        <is>
          <t>IT</t>
        </is>
      </c>
      <c r="F7" s="4" t="inlineStr">
        <is>
          <t>Ludhiana</t>
        </is>
      </c>
      <c r="G7" s="11" t="n">
        <v>44696</v>
      </c>
      <c r="H7" s="12" t="n">
        <v>86000</v>
      </c>
      <c r="I7" s="4" t="inlineStr">
        <is>
          <t>Active</t>
        </is>
      </c>
    </row>
    <row r="8">
      <c r="A8" s="4" t="inlineStr">
        <is>
          <t>EMP-007</t>
        </is>
      </c>
      <c r="B8" s="4" t="inlineStr">
        <is>
          <t>Aditi</t>
        </is>
      </c>
      <c r="C8" s="4" t="inlineStr">
        <is>
          <t>Malik</t>
        </is>
      </c>
      <c r="D8" s="4" t="n"/>
      <c r="E8" s="4" t="inlineStr">
        <is>
          <t>Sales</t>
        </is>
      </c>
      <c r="F8" s="4" t="inlineStr">
        <is>
          <t>Panchkula</t>
        </is>
      </c>
      <c r="G8" s="11" t="n">
        <v>45736</v>
      </c>
      <c r="H8" s="12" t="n">
        <v>38000</v>
      </c>
      <c r="I8" s="4" t="inlineStr">
        <is>
          <t>Active</t>
        </is>
      </c>
    </row>
    <row r="9">
      <c r="A9" s="4" t="inlineStr">
        <is>
          <t>EMP-008</t>
        </is>
      </c>
      <c r="B9" s="4" t="inlineStr">
        <is>
          <t>Aditi</t>
        </is>
      </c>
      <c r="C9" s="4" t="inlineStr">
        <is>
          <t>Bansal</t>
        </is>
      </c>
      <c r="D9" s="4" t="n"/>
      <c r="E9" s="4" t="inlineStr">
        <is>
          <t>Procurement</t>
        </is>
      </c>
      <c r="F9" s="4" t="inlineStr">
        <is>
          <t>Chandigarh</t>
        </is>
      </c>
      <c r="G9" s="11" t="n">
        <v>45987</v>
      </c>
      <c r="H9" s="12" t="n">
        <v>94000</v>
      </c>
      <c r="I9" s="4" t="inlineStr">
        <is>
          <t>Active</t>
        </is>
      </c>
    </row>
    <row r="10">
      <c r="A10" s="4" t="inlineStr">
        <is>
          <t>EMP-009</t>
        </is>
      </c>
      <c r="B10" s="4" t="inlineStr">
        <is>
          <t>Dev</t>
        </is>
      </c>
      <c r="C10" s="4" t="inlineStr">
        <is>
          <t>Rana</t>
        </is>
      </c>
      <c r="D10" s="4" t="n"/>
      <c r="E10" s="4" t="inlineStr">
        <is>
          <t>Finance</t>
        </is>
      </c>
      <c r="F10" s="4" t="inlineStr">
        <is>
          <t>Panchkula</t>
        </is>
      </c>
      <c r="G10" s="11" t="n">
        <v>44641</v>
      </c>
      <c r="H10" s="12" t="n">
        <v>48000</v>
      </c>
      <c r="I10" s="4" t="inlineStr">
        <is>
          <t>On Leave</t>
        </is>
      </c>
    </row>
    <row r="11">
      <c r="A11" s="4" t="inlineStr">
        <is>
          <t>EMP-010</t>
        </is>
      </c>
      <c r="B11" s="4" t="inlineStr">
        <is>
          <t>Nikhil</t>
        </is>
      </c>
      <c r="C11" s="4" t="inlineStr">
        <is>
          <t>Joshi</t>
        </is>
      </c>
      <c r="D11" s="4" t="n"/>
      <c r="E11" s="4" t="inlineStr">
        <is>
          <t>Procurement</t>
        </is>
      </c>
      <c r="F11" s="4" t="inlineStr">
        <is>
          <t>Panchkula</t>
        </is>
      </c>
      <c r="G11" s="11" t="n">
        <v>45370</v>
      </c>
      <c r="H11" s="12" t="n">
        <v>78000</v>
      </c>
      <c r="I11" s="4" t="inlineStr">
        <is>
          <t>On Leave</t>
        </is>
      </c>
    </row>
    <row r="12">
      <c r="A12" s="4" t="inlineStr">
        <is>
          <t>EMP-011</t>
        </is>
      </c>
      <c r="B12" s="4" t="inlineStr">
        <is>
          <t>Arjun</t>
        </is>
      </c>
      <c r="C12" s="4" t="inlineStr">
        <is>
          <t>Rana</t>
        </is>
      </c>
      <c r="D12" s="4" t="n"/>
      <c r="E12" s="4" t="inlineStr">
        <is>
          <t>Sales</t>
        </is>
      </c>
      <c r="F12" s="4" t="inlineStr">
        <is>
          <t>Chandigarh</t>
        </is>
      </c>
      <c r="G12" s="11" t="n">
        <v>46164</v>
      </c>
      <c r="H12" s="12" t="n">
        <v>32000</v>
      </c>
      <c r="I12" s="4" t="inlineStr">
        <is>
          <t>Active</t>
        </is>
      </c>
    </row>
    <row r="13">
      <c r="A13" s="4" t="inlineStr">
        <is>
          <t>EMP-012</t>
        </is>
      </c>
      <c r="B13" s="4" t="inlineStr">
        <is>
          <t>Ishaan</t>
        </is>
      </c>
      <c r="C13" s="4" t="inlineStr">
        <is>
          <t>Joshi</t>
        </is>
      </c>
      <c r="D13" s="4" t="n"/>
      <c r="E13" s="4" t="inlineStr">
        <is>
          <t>IT</t>
        </is>
      </c>
      <c r="F13" s="4" t="inlineStr">
        <is>
          <t>Ludhiana</t>
        </is>
      </c>
      <c r="G13" s="11" t="n">
        <v>44428</v>
      </c>
      <c r="H13" s="12" t="n">
        <v>61000</v>
      </c>
      <c r="I13" s="4" t="inlineStr">
        <is>
          <t>Active</t>
        </is>
      </c>
    </row>
    <row r="14">
      <c r="A14" s="4" t="inlineStr">
        <is>
          <t>EMP-013</t>
        </is>
      </c>
      <c r="B14" s="4" t="inlineStr">
        <is>
          <t>Arjun</t>
        </is>
      </c>
      <c r="C14" s="4" t="inlineStr">
        <is>
          <t>Verma</t>
        </is>
      </c>
      <c r="D14" s="4" t="n"/>
      <c r="E14" s="4" t="inlineStr">
        <is>
          <t>Finance</t>
        </is>
      </c>
      <c r="F14" s="4" t="inlineStr">
        <is>
          <t>Ludhiana</t>
        </is>
      </c>
      <c r="G14" s="11" t="n">
        <v>44468</v>
      </c>
      <c r="H14" s="12" t="n">
        <v>82000</v>
      </c>
      <c r="I14" s="4" t="inlineStr">
        <is>
          <t>Inactive</t>
        </is>
      </c>
    </row>
    <row r="15">
      <c r="A15" s="4" t="inlineStr">
        <is>
          <t>EMP-014</t>
        </is>
      </c>
      <c r="B15" s="4" t="inlineStr">
        <is>
          <t>Rohan</t>
        </is>
      </c>
      <c r="C15" s="4" t="inlineStr">
        <is>
          <t>Mehta</t>
        </is>
      </c>
      <c r="D15" s="4" t="n"/>
      <c r="E15" s="4" t="inlineStr">
        <is>
          <t>Sales</t>
        </is>
      </c>
      <c r="F15" s="4" t="inlineStr">
        <is>
          <t>Chandigarh</t>
        </is>
      </c>
      <c r="G15" s="11" t="n">
        <v>45038</v>
      </c>
      <c r="H15" s="12" t="n">
        <v>85000</v>
      </c>
      <c r="I15" s="4" t="inlineStr">
        <is>
          <t>On Leave</t>
        </is>
      </c>
    </row>
    <row r="16">
      <c r="A16" s="4" t="inlineStr">
        <is>
          <t>EMP-015</t>
        </is>
      </c>
      <c r="B16" s="4" t="inlineStr">
        <is>
          <t>Diya</t>
        </is>
      </c>
      <c r="C16" s="4" t="inlineStr">
        <is>
          <t>Verma</t>
        </is>
      </c>
      <c r="D16" s="4" t="n"/>
      <c r="E16" s="4" t="inlineStr">
        <is>
          <t>Procurement</t>
        </is>
      </c>
      <c r="F16" s="4" t="inlineStr">
        <is>
          <t>Ludhiana</t>
        </is>
      </c>
      <c r="G16" s="11" t="n">
        <v>43902</v>
      </c>
      <c r="H16" s="12" t="n">
        <v>76000</v>
      </c>
      <c r="I16" s="4" t="inlineStr">
        <is>
          <t>Active</t>
        </is>
      </c>
    </row>
    <row r="17">
      <c r="A17" s="4" t="inlineStr">
        <is>
          <t>EMP-016</t>
        </is>
      </c>
      <c r="B17" s="4" t="inlineStr">
        <is>
          <t>Meera</t>
        </is>
      </c>
      <c r="C17" s="4" t="inlineStr">
        <is>
          <t>Rana</t>
        </is>
      </c>
      <c r="D17" s="4" t="n"/>
      <c r="E17" s="4" t="inlineStr">
        <is>
          <t>Sales</t>
        </is>
      </c>
      <c r="F17" s="4" t="inlineStr">
        <is>
          <t>Ludhiana</t>
        </is>
      </c>
      <c r="G17" s="11" t="n">
        <v>45749</v>
      </c>
      <c r="H17" s="12" t="n">
        <v>53000</v>
      </c>
      <c r="I17" s="4" t="inlineStr">
        <is>
          <t>Active</t>
        </is>
      </c>
    </row>
    <row r="18">
      <c r="A18" s="4" t="inlineStr">
        <is>
          <t>EMP-017</t>
        </is>
      </c>
      <c r="B18" s="4" t="inlineStr">
        <is>
          <t>Manav</t>
        </is>
      </c>
      <c r="C18" s="4" t="inlineStr">
        <is>
          <t>Verma</t>
        </is>
      </c>
      <c r="D18" s="4" t="n"/>
      <c r="E18" s="4" t="inlineStr">
        <is>
          <t>Sales</t>
        </is>
      </c>
      <c r="F18" s="4" t="inlineStr">
        <is>
          <t>Panchkula</t>
        </is>
      </c>
      <c r="G18" s="11" t="n">
        <v>45278</v>
      </c>
      <c r="H18" s="12" t="n">
        <v>86000</v>
      </c>
      <c r="I18" s="4" t="inlineStr">
        <is>
          <t>On Leave</t>
        </is>
      </c>
    </row>
    <row r="19">
      <c r="A19" s="4" t="inlineStr">
        <is>
          <t>EMP-018</t>
        </is>
      </c>
      <c r="B19" s="4" t="inlineStr">
        <is>
          <t>Pooja</t>
        </is>
      </c>
      <c r="C19" s="4" t="inlineStr">
        <is>
          <t>Mehta</t>
        </is>
      </c>
      <c r="D19" s="4" t="n"/>
      <c r="E19" s="4" t="inlineStr">
        <is>
          <t>HR</t>
        </is>
      </c>
      <c r="F19" s="4" t="inlineStr">
        <is>
          <t>Delhi</t>
        </is>
      </c>
      <c r="G19" s="11" t="n">
        <v>45309</v>
      </c>
      <c r="H19" s="12" t="n">
        <v>55000</v>
      </c>
      <c r="I19" s="4" t="inlineStr">
        <is>
          <t>Active</t>
        </is>
      </c>
    </row>
    <row r="20">
      <c r="A20" s="4" t="inlineStr">
        <is>
          <t>EMP-019</t>
        </is>
      </c>
      <c r="B20" s="4" t="inlineStr">
        <is>
          <t>Vivaan</t>
        </is>
      </c>
      <c r="C20" s="4" t="inlineStr">
        <is>
          <t>Rana</t>
        </is>
      </c>
      <c r="D20" s="4" t="n"/>
      <c r="E20" s="4" t="inlineStr">
        <is>
          <t>Sales</t>
        </is>
      </c>
      <c r="F20" s="4" t="inlineStr">
        <is>
          <t>Chandigarh</t>
        </is>
      </c>
      <c r="G20" s="11" t="n">
        <v>44590</v>
      </c>
      <c r="H20" s="12" t="n">
        <v>78000</v>
      </c>
      <c r="I20" s="4" t="inlineStr">
        <is>
          <t>Active</t>
        </is>
      </c>
    </row>
    <row r="21">
      <c r="A21" s="4" t="inlineStr">
        <is>
          <t>EMP-020</t>
        </is>
      </c>
      <c r="B21" s="4" t="inlineStr">
        <is>
          <t>Sara</t>
        </is>
      </c>
      <c r="C21" s="4" t="inlineStr">
        <is>
          <t>Singh</t>
        </is>
      </c>
      <c r="D21" s="4" t="n"/>
      <c r="E21" s="4" t="inlineStr">
        <is>
          <t>IT</t>
        </is>
      </c>
      <c r="F21" s="4" t="inlineStr">
        <is>
          <t>Panchkula</t>
        </is>
      </c>
      <c r="G21" s="11" t="n">
        <v>44775</v>
      </c>
      <c r="H21" s="12" t="n">
        <v>91000</v>
      </c>
      <c r="I21" s="4" t="inlineStr">
        <is>
          <t>Active</t>
        </is>
      </c>
    </row>
    <row r="22">
      <c r="A22" s="4" t="inlineStr">
        <is>
          <t>EMP-021</t>
        </is>
      </c>
      <c r="B22" s="4" t="inlineStr">
        <is>
          <t>Kabir</t>
        </is>
      </c>
      <c r="C22" s="4" t="inlineStr">
        <is>
          <t>Verma</t>
        </is>
      </c>
      <c r="D22" s="4" t="n"/>
      <c r="E22" s="4" t="inlineStr">
        <is>
          <t>HR</t>
        </is>
      </c>
      <c r="F22" s="4" t="inlineStr">
        <is>
          <t>Delhi</t>
        </is>
      </c>
      <c r="G22" s="11" t="n">
        <v>44091</v>
      </c>
      <c r="H22" s="12" t="n">
        <v>49000</v>
      </c>
      <c r="I22" s="4" t="inlineStr">
        <is>
          <t>Active</t>
        </is>
      </c>
    </row>
    <row r="23">
      <c r="A23" s="4" t="inlineStr">
        <is>
          <t>EMP-022</t>
        </is>
      </c>
      <c r="B23" s="4" t="inlineStr">
        <is>
          <t>Aditi</t>
        </is>
      </c>
      <c r="C23" s="4" t="inlineStr">
        <is>
          <t>Bansal</t>
        </is>
      </c>
      <c r="D23" s="4" t="n"/>
      <c r="E23" s="4" t="inlineStr">
        <is>
          <t>IT</t>
        </is>
      </c>
      <c r="F23" s="4" t="inlineStr">
        <is>
          <t>Delhi</t>
        </is>
      </c>
      <c r="G23" s="11" t="n">
        <v>45169</v>
      </c>
      <c r="H23" s="12" t="n">
        <v>29000</v>
      </c>
      <c r="I23" s="4" t="inlineStr">
        <is>
          <t>Active</t>
        </is>
      </c>
    </row>
    <row r="24">
      <c r="A24" s="4" t="inlineStr">
        <is>
          <t>EMP-023</t>
        </is>
      </c>
      <c r="B24" s="4" t="inlineStr">
        <is>
          <t>Aditi</t>
        </is>
      </c>
      <c r="C24" s="4" t="inlineStr">
        <is>
          <t>Bansal</t>
        </is>
      </c>
      <c r="D24" s="4" t="n"/>
      <c r="E24" s="4" t="inlineStr">
        <is>
          <t>Operations</t>
        </is>
      </c>
      <c r="F24" s="4" t="inlineStr">
        <is>
          <t>Ludhiana</t>
        </is>
      </c>
      <c r="G24" s="11" t="n">
        <v>45824</v>
      </c>
      <c r="H24" s="12" t="n">
        <v>70000</v>
      </c>
      <c r="I24" s="4" t="inlineStr">
        <is>
          <t>On Leave</t>
        </is>
      </c>
    </row>
    <row r="25">
      <c r="A25" s="4" t="inlineStr">
        <is>
          <t>EMP-024</t>
        </is>
      </c>
      <c r="B25" s="4" t="inlineStr">
        <is>
          <t>Aarav</t>
        </is>
      </c>
      <c r="C25" s="4" t="inlineStr">
        <is>
          <t>Malik</t>
        </is>
      </c>
      <c r="D25" s="4" t="n"/>
      <c r="E25" s="4" t="inlineStr">
        <is>
          <t>IT</t>
        </is>
      </c>
      <c r="F25" s="4" t="inlineStr">
        <is>
          <t>Delhi</t>
        </is>
      </c>
      <c r="G25" s="11" t="n">
        <v>45182</v>
      </c>
      <c r="H25" s="12" t="n">
        <v>90000</v>
      </c>
      <c r="I25" s="4" t="inlineStr">
        <is>
          <t>Inactive</t>
        </is>
      </c>
    </row>
    <row r="26">
      <c r="A26" s="4" t="inlineStr">
        <is>
          <t>EMP-025</t>
        </is>
      </c>
      <c r="B26" s="4" t="inlineStr">
        <is>
          <t>Simran</t>
        </is>
      </c>
      <c r="C26" s="4" t="inlineStr">
        <is>
          <t>Singh</t>
        </is>
      </c>
      <c r="D26" s="4" t="n"/>
      <c r="E26" s="4" t="inlineStr">
        <is>
          <t>Sales</t>
        </is>
      </c>
      <c r="F26" s="4" t="inlineStr">
        <is>
          <t>Chandigarh</t>
        </is>
      </c>
      <c r="G26" s="11" t="n">
        <v>44583</v>
      </c>
      <c r="H26" s="12" t="n">
        <v>77000</v>
      </c>
      <c r="I26" s="4" t="inlineStr">
        <is>
          <t>On Leave</t>
        </is>
      </c>
    </row>
    <row r="27">
      <c r="A27" s="4" t="inlineStr">
        <is>
          <t>EMP-026</t>
        </is>
      </c>
      <c r="B27" s="4" t="inlineStr">
        <is>
          <t>Aarav</t>
        </is>
      </c>
      <c r="C27" s="4" t="inlineStr">
        <is>
          <t>Bansal</t>
        </is>
      </c>
      <c r="D27" s="4" t="n"/>
      <c r="E27" s="4" t="inlineStr">
        <is>
          <t>IT</t>
        </is>
      </c>
      <c r="F27" s="4" t="inlineStr">
        <is>
          <t>Delhi</t>
        </is>
      </c>
      <c r="G27" s="11" t="n">
        <v>44142</v>
      </c>
      <c r="H27" s="12" t="n">
        <v>81000</v>
      </c>
      <c r="I27" s="4" t="inlineStr">
        <is>
          <t>Active</t>
        </is>
      </c>
    </row>
    <row r="28">
      <c r="A28" s="4" t="inlineStr">
        <is>
          <t>EMP-027</t>
        </is>
      </c>
      <c r="B28" s="4" t="inlineStr">
        <is>
          <t>Simran</t>
        </is>
      </c>
      <c r="C28" s="4" t="inlineStr">
        <is>
          <t>Rana</t>
        </is>
      </c>
      <c r="D28" s="4" t="n"/>
      <c r="E28" s="4" t="inlineStr">
        <is>
          <t>Finance</t>
        </is>
      </c>
      <c r="F28" s="4" t="inlineStr">
        <is>
          <t>Delhi</t>
        </is>
      </c>
      <c r="G28" s="11" t="n">
        <v>45890</v>
      </c>
      <c r="H28" s="12" t="n">
        <v>94000</v>
      </c>
      <c r="I28" s="4" t="inlineStr">
        <is>
          <t>Active</t>
        </is>
      </c>
    </row>
    <row r="29">
      <c r="A29" s="4" t="inlineStr">
        <is>
          <t>EMP-028</t>
        </is>
      </c>
      <c r="B29" s="4" t="inlineStr">
        <is>
          <t>Rohan</t>
        </is>
      </c>
      <c r="C29" s="4" t="inlineStr">
        <is>
          <t>Bansal</t>
        </is>
      </c>
      <c r="D29" s="4" t="n"/>
      <c r="E29" s="4" t="inlineStr">
        <is>
          <t>HR</t>
        </is>
      </c>
      <c r="F29" s="4" t="inlineStr">
        <is>
          <t>Delhi</t>
        </is>
      </c>
      <c r="G29" s="11" t="n">
        <v>44210</v>
      </c>
      <c r="H29" s="12" t="n">
        <v>28000</v>
      </c>
      <c r="I29" s="4" t="inlineStr">
        <is>
          <t>Active</t>
        </is>
      </c>
    </row>
    <row r="30">
      <c r="A30" s="4" t="inlineStr">
        <is>
          <t>EMP-029</t>
        </is>
      </c>
      <c r="B30" s="4" t="inlineStr">
        <is>
          <t>Dev</t>
        </is>
      </c>
      <c r="C30" s="4" t="inlineStr">
        <is>
          <t>Malik</t>
        </is>
      </c>
      <c r="D30" s="4" t="n"/>
      <c r="E30" s="4" t="inlineStr">
        <is>
          <t>HR</t>
        </is>
      </c>
      <c r="F30" s="4" t="inlineStr">
        <is>
          <t>Delhi</t>
        </is>
      </c>
      <c r="G30" s="11" t="n">
        <v>44804</v>
      </c>
      <c r="H30" s="12" t="n">
        <v>65000</v>
      </c>
      <c r="I30" s="4" t="inlineStr">
        <is>
          <t>On Leave</t>
        </is>
      </c>
    </row>
    <row r="31">
      <c r="A31" s="4" t="inlineStr">
        <is>
          <t>EMP-030</t>
        </is>
      </c>
      <c r="B31" s="4" t="inlineStr">
        <is>
          <t>Vivaan</t>
        </is>
      </c>
      <c r="C31" s="4" t="inlineStr">
        <is>
          <t>Bansal</t>
        </is>
      </c>
      <c r="D31" s="4" t="n"/>
      <c r="E31" s="4" t="inlineStr">
        <is>
          <t>IT</t>
        </is>
      </c>
      <c r="F31" s="4" t="inlineStr">
        <is>
          <t>Ludhiana</t>
        </is>
      </c>
      <c r="G31" s="11" t="n">
        <v>45392</v>
      </c>
      <c r="H31" s="12" t="n">
        <v>24000</v>
      </c>
      <c r="I31" s="4" t="inlineStr">
        <is>
          <t>Inactive</t>
        </is>
      </c>
    </row>
    <row r="32">
      <c r="A32" s="4" t="inlineStr">
        <is>
          <t>EMP-031</t>
        </is>
      </c>
      <c r="B32" s="4" t="inlineStr">
        <is>
          <t>Ananya</t>
        </is>
      </c>
      <c r="C32" s="4" t="inlineStr">
        <is>
          <t>Malik</t>
        </is>
      </c>
      <c r="D32" s="4" t="n"/>
      <c r="E32" s="4" t="inlineStr">
        <is>
          <t>HR</t>
        </is>
      </c>
      <c r="F32" s="4" t="inlineStr">
        <is>
          <t>Ludhiana</t>
        </is>
      </c>
      <c r="G32" s="11" t="n">
        <v>46135</v>
      </c>
      <c r="H32" s="12" t="n">
        <v>27000</v>
      </c>
      <c r="I32" s="4" t="inlineStr">
        <is>
          <t>Active</t>
        </is>
      </c>
    </row>
    <row r="33">
      <c r="A33" s="4" t="inlineStr">
        <is>
          <t>EMP-032</t>
        </is>
      </c>
      <c r="B33" s="4" t="inlineStr">
        <is>
          <t>Diya</t>
        </is>
      </c>
      <c r="C33" s="4" t="inlineStr">
        <is>
          <t>Singh</t>
        </is>
      </c>
      <c r="D33" s="4" t="n"/>
      <c r="E33" s="4" t="inlineStr">
        <is>
          <t>Finance</t>
        </is>
      </c>
      <c r="F33" s="4" t="inlineStr">
        <is>
          <t>Chandigarh</t>
        </is>
      </c>
      <c r="G33" s="11" t="n">
        <v>44443</v>
      </c>
      <c r="H33" s="12" t="n">
        <v>38000</v>
      </c>
      <c r="I33" s="4" t="inlineStr">
        <is>
          <t>On Leave</t>
        </is>
      </c>
    </row>
    <row r="34">
      <c r="A34" s="4" t="inlineStr">
        <is>
          <t>EMP-033</t>
        </is>
      </c>
      <c r="B34" s="4" t="inlineStr">
        <is>
          <t>Isha</t>
        </is>
      </c>
      <c r="C34" s="4" t="inlineStr">
        <is>
          <t>Joshi</t>
        </is>
      </c>
      <c r="D34" s="4" t="n"/>
      <c r="E34" s="4" t="inlineStr">
        <is>
          <t>HR</t>
        </is>
      </c>
      <c r="F34" s="4" t="inlineStr">
        <is>
          <t>Delhi</t>
        </is>
      </c>
      <c r="G34" s="11" t="n">
        <v>44515</v>
      </c>
      <c r="H34" s="12" t="n">
        <v>69000</v>
      </c>
      <c r="I34" s="4" t="inlineStr">
        <is>
          <t>Active</t>
        </is>
      </c>
    </row>
    <row r="35">
      <c r="A35" s="4" t="inlineStr">
        <is>
          <t>EMP-034</t>
        </is>
      </c>
      <c r="B35" s="4" t="inlineStr">
        <is>
          <t>Simran</t>
        </is>
      </c>
      <c r="C35" s="4" t="inlineStr">
        <is>
          <t>Joshi</t>
        </is>
      </c>
      <c r="D35" s="4" t="n"/>
      <c r="E35" s="4" t="inlineStr">
        <is>
          <t>Procurement</t>
        </is>
      </c>
      <c r="F35" s="4" t="inlineStr">
        <is>
          <t>Ludhiana</t>
        </is>
      </c>
      <c r="G35" s="11" t="n">
        <v>44136</v>
      </c>
      <c r="H35" s="12" t="n">
        <v>61000</v>
      </c>
      <c r="I35" s="4" t="inlineStr">
        <is>
          <t>Active</t>
        </is>
      </c>
    </row>
    <row r="36">
      <c r="A36" s="4" t="inlineStr">
        <is>
          <t>EMP-035</t>
        </is>
      </c>
      <c r="B36" s="4" t="inlineStr">
        <is>
          <t>Nikhil</t>
        </is>
      </c>
      <c r="C36" s="4" t="inlineStr">
        <is>
          <t>Sharma</t>
        </is>
      </c>
      <c r="D36" s="4" t="n"/>
      <c r="E36" s="4" t="inlineStr">
        <is>
          <t>IT</t>
        </is>
      </c>
      <c r="F36" s="4" t="inlineStr">
        <is>
          <t>Delhi</t>
        </is>
      </c>
      <c r="G36" s="11" t="n">
        <v>45090</v>
      </c>
      <c r="H36" s="12" t="n">
        <v>47000</v>
      </c>
      <c r="I36" s="4" t="inlineStr">
        <is>
          <t>Active</t>
        </is>
      </c>
    </row>
    <row r="37">
      <c r="A37" s="4" t="inlineStr">
        <is>
          <t>EMP-036</t>
        </is>
      </c>
      <c r="B37" s="4" t="inlineStr">
        <is>
          <t>Nikhil</t>
        </is>
      </c>
      <c r="C37" s="4" t="inlineStr">
        <is>
          <t>Singh</t>
        </is>
      </c>
      <c r="D37" s="4" t="n"/>
      <c r="E37" s="4" t="inlineStr">
        <is>
          <t>Finance</t>
        </is>
      </c>
      <c r="F37" s="4" t="inlineStr">
        <is>
          <t>Panchkula</t>
        </is>
      </c>
      <c r="G37" s="11" t="n">
        <v>45925</v>
      </c>
      <c r="H37" s="12" t="n">
        <v>37000</v>
      </c>
      <c r="I37" s="4" t="inlineStr">
        <is>
          <t>Inactive</t>
        </is>
      </c>
    </row>
    <row r="38">
      <c r="A38" s="4" t="inlineStr">
        <is>
          <t>EMP-037</t>
        </is>
      </c>
      <c r="B38" s="4" t="inlineStr">
        <is>
          <t>Ananya</t>
        </is>
      </c>
      <c r="C38" s="4" t="inlineStr">
        <is>
          <t>Malik</t>
        </is>
      </c>
      <c r="D38" s="4" t="n"/>
      <c r="E38" s="4" t="inlineStr">
        <is>
          <t>Operations</t>
        </is>
      </c>
      <c r="F38" s="4" t="inlineStr">
        <is>
          <t>Delhi</t>
        </is>
      </c>
      <c r="G38" s="11" t="n">
        <v>44983</v>
      </c>
      <c r="H38" s="12" t="n">
        <v>30000</v>
      </c>
      <c r="I38" s="4" t="inlineStr">
        <is>
          <t>Inactive</t>
        </is>
      </c>
    </row>
    <row r="39">
      <c r="A39" s="4" t="inlineStr">
        <is>
          <t>EMP-038</t>
        </is>
      </c>
      <c r="B39" s="4" t="inlineStr">
        <is>
          <t>Karan</t>
        </is>
      </c>
      <c r="C39" s="4" t="inlineStr">
        <is>
          <t>Sharma</t>
        </is>
      </c>
      <c r="D39" s="4" t="n"/>
      <c r="E39" s="4" t="inlineStr">
        <is>
          <t>Sales</t>
        </is>
      </c>
      <c r="F39" s="4" t="inlineStr">
        <is>
          <t>Delhi</t>
        </is>
      </c>
      <c r="G39" s="11" t="n">
        <v>43898</v>
      </c>
      <c r="H39" s="12" t="n">
        <v>77000</v>
      </c>
      <c r="I39" s="4" t="inlineStr">
        <is>
          <t>Active</t>
        </is>
      </c>
    </row>
    <row r="40">
      <c r="A40" s="4" t="inlineStr">
        <is>
          <t>EMP-039</t>
        </is>
      </c>
      <c r="B40" s="4" t="inlineStr">
        <is>
          <t>Manav</t>
        </is>
      </c>
      <c r="C40" s="4" t="inlineStr">
        <is>
          <t>Verma</t>
        </is>
      </c>
      <c r="D40" s="4" t="n"/>
      <c r="E40" s="4" t="inlineStr">
        <is>
          <t>Sales</t>
        </is>
      </c>
      <c r="F40" s="4" t="inlineStr">
        <is>
          <t>Chandigarh</t>
        </is>
      </c>
      <c r="G40" s="11" t="n">
        <v>45603</v>
      </c>
      <c r="H40" s="12" t="n">
        <v>56000</v>
      </c>
      <c r="I40" s="4" t="inlineStr">
        <is>
          <t>Inactive</t>
        </is>
      </c>
    </row>
    <row r="41">
      <c r="A41" s="4" t="inlineStr">
        <is>
          <t>EMP-040</t>
        </is>
      </c>
      <c r="B41" s="4" t="inlineStr">
        <is>
          <t>Pooja</t>
        </is>
      </c>
      <c r="C41" s="4" t="inlineStr">
        <is>
          <t>Mehta</t>
        </is>
      </c>
      <c r="D41" s="4" t="n"/>
      <c r="E41" s="4" t="inlineStr">
        <is>
          <t>Sales</t>
        </is>
      </c>
      <c r="F41" s="4" t="inlineStr">
        <is>
          <t>Delhi</t>
        </is>
      </c>
      <c r="G41" s="11" t="n">
        <v>45892</v>
      </c>
      <c r="H41" s="12" t="n">
        <v>56000</v>
      </c>
      <c r="I41" s="4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3" customWidth="1" min="1" max="2"/>
    <col width="14" customWidth="1" min="3" max="3"/>
    <col width="20" customWidth="1" min="4" max="4"/>
    <col width="12" customWidth="1" min="5" max="5"/>
    <col width="18" customWidth="1" min="6" max="6"/>
    <col width="12" customWidth="1" min="7" max="9"/>
    <col width="14" customWidth="1" min="10" max="10"/>
    <col width="15" customWidth="1" min="11" max="11"/>
    <col width="17" customWidth="1" min="12" max="12"/>
  </cols>
  <sheetData>
    <row r="1" ht="30" customHeight="1">
      <c r="A1" s="2" t="inlineStr">
        <is>
          <t>Purchase ID</t>
        </is>
      </c>
      <c r="B1" s="2" t="inlineStr">
        <is>
          <t>Invoice No.</t>
        </is>
      </c>
      <c r="C1" s="2" t="inlineStr">
        <is>
          <t>Invoice Date</t>
        </is>
      </c>
      <c r="D1" s="2" t="inlineStr">
        <is>
          <t>Vendor</t>
        </is>
      </c>
      <c r="E1" s="2" t="inlineStr">
        <is>
          <t>Item Code</t>
        </is>
      </c>
      <c r="F1" s="2" t="inlineStr">
        <is>
          <t>Item Description</t>
        </is>
      </c>
      <c r="G1" s="2" t="inlineStr">
        <is>
          <t>Quantity</t>
        </is>
      </c>
      <c r="H1" s="2" t="inlineStr">
        <is>
          <t>Unit Price</t>
        </is>
      </c>
      <c r="I1" s="2" t="inlineStr">
        <is>
          <t>Tax %</t>
        </is>
      </c>
      <c r="J1" s="2" t="inlineStr">
        <is>
          <t>Tax Amount</t>
        </is>
      </c>
      <c r="K1" s="2" t="inlineStr">
        <is>
          <t>Invoice Total</t>
        </is>
      </c>
      <c r="L1" s="2" t="inlineStr">
        <is>
          <t>Approval Status</t>
        </is>
      </c>
    </row>
    <row r="2">
      <c r="A2" s="4" t="inlineStr">
        <is>
          <t>PUR-0001</t>
        </is>
      </c>
      <c r="B2" s="4" t="inlineStr">
        <is>
          <t>INV-1008</t>
        </is>
      </c>
      <c r="C2" s="11" t="n">
        <v>46253</v>
      </c>
      <c r="D2" s="4" t="inlineStr">
        <is>
          <t>Prime Office Mart</t>
        </is>
      </c>
      <c r="E2" s="4" t="inlineStr">
        <is>
          <t>ITM-002</t>
        </is>
      </c>
      <c r="F2" s="4" t="inlineStr">
        <is>
          <t>Monitor</t>
        </is>
      </c>
      <c r="G2" s="4" t="n">
        <v>14</v>
      </c>
      <c r="H2" s="6" t="n">
        <v>12500</v>
      </c>
      <c r="I2" s="7" t="n">
        <v>0.05</v>
      </c>
      <c r="J2" s="6">
        <f>G2*H2*I2</f>
        <v/>
      </c>
      <c r="K2" s="6">
        <f>G2*H2+J2</f>
        <v/>
      </c>
      <c r="L2" s="4" t="inlineStr">
        <is>
          <t>Approved</t>
        </is>
      </c>
    </row>
    <row r="3">
      <c r="A3" s="4" t="inlineStr">
        <is>
          <t>PUR-0002</t>
        </is>
      </c>
      <c r="B3" s="4" t="inlineStr">
        <is>
          <t>INV-1012</t>
        </is>
      </c>
      <c r="C3" s="11" t="n">
        <v>46195</v>
      </c>
      <c r="D3" s="4" t="inlineStr">
        <is>
          <t>Northstar Supplies</t>
        </is>
      </c>
      <c r="E3" s="4" t="inlineStr">
        <is>
          <t>ITM-005</t>
        </is>
      </c>
      <c r="F3" s="4" t="inlineStr">
        <is>
          <t>Router</t>
        </is>
      </c>
      <c r="G3" s="4" t="n">
        <v>10</v>
      </c>
      <c r="H3" s="6" t="n">
        <v>3200</v>
      </c>
      <c r="I3" s="7" t="n">
        <v>0.18</v>
      </c>
      <c r="J3" s="6">
        <f>G3*H3*I3</f>
        <v/>
      </c>
      <c r="K3" s="6">
        <f>G3*H3+J3</f>
        <v/>
      </c>
      <c r="L3" s="4" t="inlineStr">
        <is>
          <t>Approved</t>
        </is>
      </c>
    </row>
    <row r="4">
      <c r="A4" s="4" t="inlineStr">
        <is>
          <t>PUR-0003</t>
        </is>
      </c>
      <c r="B4" s="4" t="inlineStr">
        <is>
          <t>INV-1006</t>
        </is>
      </c>
      <c r="C4" s="11" t="n">
        <v>46204</v>
      </c>
      <c r="D4" s="4" t="inlineStr">
        <is>
          <t>City Tech Traders</t>
        </is>
      </c>
      <c r="E4" s="4" t="inlineStr">
        <is>
          <t>ITM-003</t>
        </is>
      </c>
      <c r="F4" s="4" t="inlineStr">
        <is>
          <t>Keyboard</t>
        </is>
      </c>
      <c r="G4" s="4" t="n">
        <v>3</v>
      </c>
      <c r="H4" s="6" t="n">
        <v>900</v>
      </c>
      <c r="I4" s="7" t="n">
        <v>0.12</v>
      </c>
      <c r="J4" s="6">
        <f>G4*H4*I4</f>
        <v/>
      </c>
      <c r="K4" s="6">
        <f>G4*H4+J4</f>
        <v/>
      </c>
      <c r="L4" s="4" t="inlineStr">
        <is>
          <t>Approved</t>
        </is>
      </c>
    </row>
    <row r="5">
      <c r="A5" s="4" t="inlineStr">
        <is>
          <t>PUR-0004</t>
        </is>
      </c>
      <c r="B5" s="4" t="inlineStr">
        <is>
          <t>INV-1022</t>
        </is>
      </c>
      <c r="C5" s="11" t="n">
        <v>46164</v>
      </c>
      <c r="D5" s="4" t="inlineStr">
        <is>
          <t>Apex Enterprises</t>
        </is>
      </c>
      <c r="E5" s="4" t="inlineStr">
        <is>
          <t>ITM-003</t>
        </is>
      </c>
      <c r="F5" s="4" t="inlineStr">
        <is>
          <t>Keyboard</t>
        </is>
      </c>
      <c r="G5" s="4" t="n">
        <v>15</v>
      </c>
      <c r="H5" s="6" t="n">
        <v>900</v>
      </c>
      <c r="I5" s="7" t="n">
        <v>0.18</v>
      </c>
      <c r="J5" s="6">
        <f>G5*H5*I5</f>
        <v/>
      </c>
      <c r="K5" s="6">
        <f>G5*H5+J5</f>
        <v/>
      </c>
      <c r="L5" s="4" t="inlineStr">
        <is>
          <t>Pending</t>
        </is>
      </c>
    </row>
    <row r="6">
      <c r="A6" s="4" t="inlineStr">
        <is>
          <t>PUR-0005</t>
        </is>
      </c>
      <c r="B6" s="4" t="inlineStr">
        <is>
          <t>INV-1007</t>
        </is>
      </c>
      <c r="C6" s="11" t="n">
        <v>46231</v>
      </c>
      <c r="D6" s="4" t="inlineStr">
        <is>
          <t>Reliable Systems</t>
        </is>
      </c>
      <c r="E6" s="4" t="inlineStr">
        <is>
          <t>ITM-005</t>
        </is>
      </c>
      <c r="F6" s="4" t="inlineStr">
        <is>
          <t>Router</t>
        </is>
      </c>
      <c r="G6" s="4" t="n">
        <v>4</v>
      </c>
      <c r="H6" s="6" t="n">
        <v>3200</v>
      </c>
      <c r="I6" s="7" t="n">
        <v>0.05</v>
      </c>
      <c r="J6" s="6">
        <f>G6*H6*I6</f>
        <v/>
      </c>
      <c r="K6" s="6">
        <f>G6*H6+J6</f>
        <v/>
      </c>
      <c r="L6" s="4" t="inlineStr">
        <is>
          <t>Rejected</t>
        </is>
      </c>
    </row>
    <row r="7">
      <c r="A7" s="4" t="inlineStr">
        <is>
          <t>PUR-0006</t>
        </is>
      </c>
      <c r="B7" s="4" t="inlineStr">
        <is>
          <t>INV-1020</t>
        </is>
      </c>
      <c r="C7" s="11" t="n">
        <v>46274</v>
      </c>
      <c r="D7" s="4" t="inlineStr">
        <is>
          <t>Reliable Systems</t>
        </is>
      </c>
      <c r="E7" s="4" t="inlineStr">
        <is>
          <t>ITM-002</t>
        </is>
      </c>
      <c r="F7" s="4" t="inlineStr">
        <is>
          <t>Monitor</t>
        </is>
      </c>
      <c r="G7" s="4" t="n">
        <v>12</v>
      </c>
      <c r="H7" s="6" t="n">
        <v>12500</v>
      </c>
      <c r="I7" s="7" t="n">
        <v>0.12</v>
      </c>
      <c r="J7" s="6">
        <f>G7*H7*I7</f>
        <v/>
      </c>
      <c r="K7" s="6">
        <f>G7*H7+J7</f>
        <v/>
      </c>
      <c r="L7" s="4" t="inlineStr">
        <is>
          <t>Pending</t>
        </is>
      </c>
    </row>
    <row r="8">
      <c r="A8" s="4" t="inlineStr">
        <is>
          <t>PUR-0007</t>
        </is>
      </c>
      <c r="B8" s="4" t="inlineStr">
        <is>
          <t>INV-1012</t>
        </is>
      </c>
      <c r="C8" s="11" t="n">
        <v>46147</v>
      </c>
      <c r="D8" s="4" t="inlineStr">
        <is>
          <t>City Tech Traders</t>
        </is>
      </c>
      <c r="E8" s="4" t="inlineStr">
        <is>
          <t>ITM-001</t>
        </is>
      </c>
      <c r="F8" s="4" t="inlineStr">
        <is>
          <t>Laptop</t>
        </is>
      </c>
      <c r="G8" s="4" t="n">
        <v>5</v>
      </c>
      <c r="H8" s="6" t="n">
        <v>42000</v>
      </c>
      <c r="I8" s="7" t="n">
        <v>0.05</v>
      </c>
      <c r="J8" s="6">
        <f>G8*H8*I8</f>
        <v/>
      </c>
      <c r="K8" s="6">
        <f>G8*H8+J8</f>
        <v/>
      </c>
      <c r="L8" s="4" t="inlineStr">
        <is>
          <t>Rejected</t>
        </is>
      </c>
    </row>
    <row r="9">
      <c r="A9" s="4" t="inlineStr">
        <is>
          <t>PUR-0008</t>
        </is>
      </c>
      <c r="B9" s="4" t="inlineStr">
        <is>
          <t>INV-1017</t>
        </is>
      </c>
      <c r="C9" s="11" t="n">
        <v>46294</v>
      </c>
      <c r="D9" s="4" t="inlineStr">
        <is>
          <t>City Tech Traders</t>
        </is>
      </c>
      <c r="E9" s="4" t="inlineStr">
        <is>
          <t>ITM-005</t>
        </is>
      </c>
      <c r="F9" s="4" t="inlineStr">
        <is>
          <t>Router</t>
        </is>
      </c>
      <c r="G9" s="4" t="n">
        <v>6</v>
      </c>
      <c r="H9" s="6" t="n">
        <v>3200</v>
      </c>
      <c r="I9" s="7" t="n">
        <v>0.12</v>
      </c>
      <c r="J9" s="6">
        <f>G9*H9*I9</f>
        <v/>
      </c>
      <c r="K9" s="6">
        <f>G9*H9+J9</f>
        <v/>
      </c>
      <c r="L9" s="4" t="inlineStr">
        <is>
          <t>Approved</t>
        </is>
      </c>
    </row>
    <row r="10">
      <c r="A10" s="4" t="inlineStr">
        <is>
          <t>PUR-0009</t>
        </is>
      </c>
      <c r="B10" s="4" t="inlineStr">
        <is>
          <t>INV-1011</t>
        </is>
      </c>
      <c r="C10" s="11" t="n">
        <v>46255</v>
      </c>
      <c r="D10" s="4" t="inlineStr">
        <is>
          <t>City Tech Traders</t>
        </is>
      </c>
      <c r="E10" s="4" t="inlineStr">
        <is>
          <t>ITM-006</t>
        </is>
      </c>
      <c r="F10" s="4" t="inlineStr">
        <is>
          <t>Office Chair</t>
        </is>
      </c>
      <c r="G10" s="4" t="n">
        <v>9</v>
      </c>
      <c r="H10" s="6" t="n">
        <v>6500</v>
      </c>
      <c r="I10" s="7" t="n">
        <v>0.12</v>
      </c>
      <c r="J10" s="6">
        <f>G10*H10*I10</f>
        <v/>
      </c>
      <c r="K10" s="6">
        <f>G10*H10+J10</f>
        <v/>
      </c>
      <c r="L10" s="4" t="inlineStr">
        <is>
          <t>Approved</t>
        </is>
      </c>
    </row>
    <row r="11">
      <c r="A11" s="4" t="inlineStr">
        <is>
          <t>PUR-0010</t>
        </is>
      </c>
      <c r="B11" s="4" t="inlineStr">
        <is>
          <t>INV-1023</t>
        </is>
      </c>
      <c r="C11" s="11" t="n">
        <v>46121</v>
      </c>
      <c r="D11" s="4" t="inlineStr">
        <is>
          <t>City Tech Traders</t>
        </is>
      </c>
      <c r="E11" s="4" t="inlineStr">
        <is>
          <t>ITM-003</t>
        </is>
      </c>
      <c r="F11" s="4" t="inlineStr">
        <is>
          <t>Keyboard</t>
        </is>
      </c>
      <c r="G11" s="4" t="n">
        <v>4</v>
      </c>
      <c r="H11" s="6" t="n">
        <v>900</v>
      </c>
      <c r="I11" s="7" t="n">
        <v>0.05</v>
      </c>
      <c r="J11" s="6">
        <f>G11*H11*I11</f>
        <v/>
      </c>
      <c r="K11" s="6">
        <f>G11*H11+J11</f>
        <v/>
      </c>
      <c r="L11" s="4" t="inlineStr">
        <is>
          <t>Pending</t>
        </is>
      </c>
    </row>
    <row r="12">
      <c r="A12" s="4" t="inlineStr">
        <is>
          <t>PUR-0011</t>
        </is>
      </c>
      <c r="B12" s="4" t="inlineStr">
        <is>
          <t>INV-1005</t>
        </is>
      </c>
      <c r="C12" s="11" t="n">
        <v>46121</v>
      </c>
      <c r="D12" s="4" t="inlineStr">
        <is>
          <t>Prime Office Mart</t>
        </is>
      </c>
      <c r="E12" s="4" t="inlineStr">
        <is>
          <t>ITM-006</t>
        </is>
      </c>
      <c r="F12" s="4" t="inlineStr">
        <is>
          <t>Office Chair</t>
        </is>
      </c>
      <c r="G12" s="4" t="n">
        <v>9</v>
      </c>
      <c r="H12" s="6" t="n">
        <v>6500</v>
      </c>
      <c r="I12" s="7" t="n">
        <v>0.18</v>
      </c>
      <c r="J12" s="6">
        <f>G12*H12*I12</f>
        <v/>
      </c>
      <c r="K12" s="6">
        <f>G12*H12+J12</f>
        <v/>
      </c>
      <c r="L12" s="4" t="inlineStr">
        <is>
          <t>Rejected</t>
        </is>
      </c>
    </row>
    <row r="13">
      <c r="A13" s="4" t="inlineStr">
        <is>
          <t>PUR-0012</t>
        </is>
      </c>
      <c r="B13" s="4" t="inlineStr">
        <is>
          <t>INV-1018</t>
        </is>
      </c>
      <c r="C13" s="11" t="n">
        <v>46291</v>
      </c>
      <c r="D13" s="4" t="inlineStr">
        <is>
          <t>Apex Enterprises</t>
        </is>
      </c>
      <c r="E13" s="4" t="inlineStr">
        <is>
          <t>ITM-004</t>
        </is>
      </c>
      <c r="F13" s="4" t="inlineStr">
        <is>
          <t>Printer</t>
        </is>
      </c>
      <c r="G13" s="4" t="n">
        <v>5</v>
      </c>
      <c r="H13" s="6" t="n">
        <v>14500</v>
      </c>
      <c r="I13" s="7" t="n">
        <v>0.18</v>
      </c>
      <c r="J13" s="6">
        <f>G13*H13*I13</f>
        <v/>
      </c>
      <c r="K13" s="6">
        <f>G13*H13+J13</f>
        <v/>
      </c>
      <c r="L13" s="4" t="inlineStr">
        <is>
          <t>Approved</t>
        </is>
      </c>
    </row>
    <row r="14">
      <c r="A14" s="4" t="inlineStr">
        <is>
          <t>PUR-0013</t>
        </is>
      </c>
      <c r="B14" s="4" t="inlineStr">
        <is>
          <t>INV-1009</t>
        </is>
      </c>
      <c r="C14" s="11" t="n">
        <v>46139</v>
      </c>
      <c r="D14" s="4" t="inlineStr">
        <is>
          <t>City Tech Traders</t>
        </is>
      </c>
      <c r="E14" s="4" t="inlineStr">
        <is>
          <t>ITM-001</t>
        </is>
      </c>
      <c r="F14" s="4" t="inlineStr">
        <is>
          <t>Laptop</t>
        </is>
      </c>
      <c r="G14" s="4" t="n">
        <v>14</v>
      </c>
      <c r="H14" s="6" t="n">
        <v>42000</v>
      </c>
      <c r="I14" s="7" t="n">
        <v>0.05</v>
      </c>
      <c r="J14" s="6">
        <f>G14*H14*I14</f>
        <v/>
      </c>
      <c r="K14" s="6">
        <f>G14*H14+J14</f>
        <v/>
      </c>
      <c r="L14" s="4" t="inlineStr">
        <is>
          <t>Pending</t>
        </is>
      </c>
    </row>
    <row r="15">
      <c r="A15" s="4" t="inlineStr">
        <is>
          <t>PUR-0014</t>
        </is>
      </c>
      <c r="B15" s="4" t="inlineStr">
        <is>
          <t>INV-1017</t>
        </is>
      </c>
      <c r="C15" s="11" t="n">
        <v>46087</v>
      </c>
      <c r="D15" s="4" t="inlineStr">
        <is>
          <t>City Tech Traders</t>
        </is>
      </c>
      <c r="E15" s="4" t="inlineStr">
        <is>
          <t>ITM-003</t>
        </is>
      </c>
      <c r="F15" s="4" t="inlineStr">
        <is>
          <t>Keyboard</t>
        </is>
      </c>
      <c r="G15" s="4" t="n">
        <v>1</v>
      </c>
      <c r="H15" s="6" t="n">
        <v>900</v>
      </c>
      <c r="I15" s="7" t="n">
        <v>0.18</v>
      </c>
      <c r="J15" s="6">
        <f>G15*H15*I15</f>
        <v/>
      </c>
      <c r="K15" s="6">
        <f>G15*H15+J15</f>
        <v/>
      </c>
      <c r="L15" s="4" t="inlineStr">
        <is>
          <t>Pending</t>
        </is>
      </c>
    </row>
    <row r="16">
      <c r="A16" s="4" t="inlineStr">
        <is>
          <t>PUR-0015</t>
        </is>
      </c>
      <c r="B16" s="4" t="inlineStr">
        <is>
          <t>INV-1022</t>
        </is>
      </c>
      <c r="C16" s="11" t="n">
        <v>46087</v>
      </c>
      <c r="D16" s="4" t="inlineStr">
        <is>
          <t>Reliable Systems</t>
        </is>
      </c>
      <c r="E16" s="4" t="inlineStr">
        <is>
          <t>ITM-001</t>
        </is>
      </c>
      <c r="F16" s="4" t="inlineStr">
        <is>
          <t>Laptop</t>
        </is>
      </c>
      <c r="G16" s="4" t="n">
        <v>9</v>
      </c>
      <c r="H16" s="6" t="n">
        <v>42000</v>
      </c>
      <c r="I16" s="7" t="n">
        <v>0.12</v>
      </c>
      <c r="J16" s="6">
        <f>G16*H16*I16</f>
        <v/>
      </c>
      <c r="K16" s="6">
        <f>G16*H16+J16</f>
        <v/>
      </c>
      <c r="L16" s="4" t="inlineStr">
        <is>
          <t>Pending</t>
        </is>
      </c>
    </row>
    <row r="17">
      <c r="A17" s="4" t="inlineStr">
        <is>
          <t>PUR-0016</t>
        </is>
      </c>
      <c r="B17" s="4" t="inlineStr">
        <is>
          <t>INV-1015</t>
        </is>
      </c>
      <c r="C17" s="11" t="n">
        <v>46268</v>
      </c>
      <c r="D17" s="4" t="inlineStr">
        <is>
          <t>Reliable Systems</t>
        </is>
      </c>
      <c r="E17" s="4" t="inlineStr">
        <is>
          <t>ITM-001</t>
        </is>
      </c>
      <c r="F17" s="4" t="inlineStr">
        <is>
          <t>Laptop</t>
        </is>
      </c>
      <c r="G17" s="4" t="n">
        <v>10</v>
      </c>
      <c r="H17" s="6" t="n">
        <v>42000</v>
      </c>
      <c r="I17" s="7" t="n">
        <v>0.12</v>
      </c>
      <c r="J17" s="6">
        <f>G17*H17*I17</f>
        <v/>
      </c>
      <c r="K17" s="6">
        <f>G17*H17+J17</f>
        <v/>
      </c>
      <c r="L17" s="4" t="inlineStr">
        <is>
          <t>Approved</t>
        </is>
      </c>
    </row>
    <row r="18">
      <c r="A18" s="4" t="inlineStr">
        <is>
          <t>PUR-0017</t>
        </is>
      </c>
      <c r="B18" s="4" t="inlineStr">
        <is>
          <t>INV-1030</t>
        </is>
      </c>
      <c r="C18" s="11" t="n">
        <v>46267</v>
      </c>
      <c r="D18" s="4" t="inlineStr">
        <is>
          <t>Northstar Supplies</t>
        </is>
      </c>
      <c r="E18" s="4" t="inlineStr">
        <is>
          <t>ITM-002</t>
        </is>
      </c>
      <c r="F18" s="4" t="inlineStr">
        <is>
          <t>Monitor</t>
        </is>
      </c>
      <c r="G18" s="4" t="n">
        <v>1</v>
      </c>
      <c r="H18" s="6" t="n">
        <v>12500</v>
      </c>
      <c r="I18" s="7" t="n">
        <v>0.12</v>
      </c>
      <c r="J18" s="6">
        <f>G18*H18*I18</f>
        <v/>
      </c>
      <c r="K18" s="6">
        <f>G18*H18+J18</f>
        <v/>
      </c>
      <c r="L18" s="4" t="inlineStr">
        <is>
          <t>Pending</t>
        </is>
      </c>
    </row>
    <row r="19">
      <c r="A19" s="4" t="inlineStr">
        <is>
          <t>PUR-0018</t>
        </is>
      </c>
      <c r="B19" s="4" t="inlineStr">
        <is>
          <t>INV-1018</t>
        </is>
      </c>
      <c r="C19" s="11" t="n">
        <v>46050</v>
      </c>
      <c r="D19" s="4" t="inlineStr">
        <is>
          <t>Prime Office Mart</t>
        </is>
      </c>
      <c r="E19" s="4" t="inlineStr">
        <is>
          <t>ITM-004</t>
        </is>
      </c>
      <c r="F19" s="4" t="inlineStr">
        <is>
          <t>Printer</t>
        </is>
      </c>
      <c r="G19" s="4" t="n">
        <v>8</v>
      </c>
      <c r="H19" s="6" t="n">
        <v>14500</v>
      </c>
      <c r="I19" s="7" t="n">
        <v>0.05</v>
      </c>
      <c r="J19" s="6">
        <f>G19*H19*I19</f>
        <v/>
      </c>
      <c r="K19" s="6">
        <f>G19*H19+J19</f>
        <v/>
      </c>
      <c r="L19" s="4" t="inlineStr">
        <is>
          <t>Pending</t>
        </is>
      </c>
    </row>
    <row r="20">
      <c r="A20" s="4" t="inlineStr">
        <is>
          <t>PUR-0019</t>
        </is>
      </c>
      <c r="B20" s="4" t="inlineStr">
        <is>
          <t>INV-1007</t>
        </is>
      </c>
      <c r="C20" s="11" t="n">
        <v>46083</v>
      </c>
      <c r="D20" s="4" t="inlineStr">
        <is>
          <t>Apex Enterprises</t>
        </is>
      </c>
      <c r="E20" s="4" t="inlineStr">
        <is>
          <t>ITM-005</t>
        </is>
      </c>
      <c r="F20" s="4" t="inlineStr">
        <is>
          <t>Router</t>
        </is>
      </c>
      <c r="G20" s="4" t="n">
        <v>5</v>
      </c>
      <c r="H20" s="6" t="n">
        <v>3200</v>
      </c>
      <c r="I20" s="7" t="n">
        <v>0.05</v>
      </c>
      <c r="J20" s="6">
        <f>G20*H20*I20</f>
        <v/>
      </c>
      <c r="K20" s="6">
        <f>G20*H20+J20</f>
        <v/>
      </c>
      <c r="L20" s="4" t="inlineStr">
        <is>
          <t>Approved</t>
        </is>
      </c>
    </row>
    <row r="21">
      <c r="A21" s="4" t="inlineStr">
        <is>
          <t>PUR-0020</t>
        </is>
      </c>
      <c r="B21" s="4" t="inlineStr">
        <is>
          <t>INV-1007</t>
        </is>
      </c>
      <c r="C21" s="11" t="n">
        <v>46290</v>
      </c>
      <c r="D21" s="4" t="inlineStr">
        <is>
          <t>Reliable Systems</t>
        </is>
      </c>
      <c r="E21" s="4" t="inlineStr">
        <is>
          <t>ITM-005</t>
        </is>
      </c>
      <c r="F21" s="4" t="inlineStr">
        <is>
          <t>Router</t>
        </is>
      </c>
      <c r="G21" s="4" t="n">
        <v>10</v>
      </c>
      <c r="H21" s="6" t="n">
        <v>3200</v>
      </c>
      <c r="I21" s="7" t="n">
        <v>0.18</v>
      </c>
      <c r="J21" s="6">
        <f>G21*H21*I21</f>
        <v/>
      </c>
      <c r="K21" s="6">
        <f>G21*H21+J21</f>
        <v/>
      </c>
      <c r="L21" s="4" t="inlineStr">
        <is>
          <t>Approved</t>
        </is>
      </c>
    </row>
    <row r="22">
      <c r="A22" s="4" t="inlineStr">
        <is>
          <t>PUR-0021</t>
        </is>
      </c>
      <c r="B22" s="4" t="inlineStr">
        <is>
          <t>INV-1013</t>
        </is>
      </c>
      <c r="C22" s="11" t="n">
        <v>46179</v>
      </c>
      <c r="D22" s="4" t="inlineStr">
        <is>
          <t>Apex Enterprises</t>
        </is>
      </c>
      <c r="E22" s="4" t="inlineStr">
        <is>
          <t>ITM-004</t>
        </is>
      </c>
      <c r="F22" s="4" t="inlineStr">
        <is>
          <t>Printer</t>
        </is>
      </c>
      <c r="G22" s="4" t="n">
        <v>5</v>
      </c>
      <c r="H22" s="6" t="n">
        <v>14500</v>
      </c>
      <c r="I22" s="7" t="n">
        <v>0.18</v>
      </c>
      <c r="J22" s="6">
        <f>G22*H22*I22</f>
        <v/>
      </c>
      <c r="K22" s="6">
        <f>G22*H22+J22</f>
        <v/>
      </c>
      <c r="L22" s="4" t="inlineStr">
        <is>
          <t>Rejected</t>
        </is>
      </c>
    </row>
    <row r="23">
      <c r="A23" s="4" t="inlineStr">
        <is>
          <t>PUR-0022</t>
        </is>
      </c>
      <c r="B23" s="4" t="inlineStr">
        <is>
          <t>INV-1003</t>
        </is>
      </c>
      <c r="C23" s="11" t="n">
        <v>46129</v>
      </c>
      <c r="D23" s="4" t="inlineStr">
        <is>
          <t>Prime Office Mart</t>
        </is>
      </c>
      <c r="E23" s="4" t="inlineStr">
        <is>
          <t>ITM-001</t>
        </is>
      </c>
      <c r="F23" s="4" t="inlineStr">
        <is>
          <t>Laptop</t>
        </is>
      </c>
      <c r="G23" s="4" t="n">
        <v>10</v>
      </c>
      <c r="H23" s="6" t="n">
        <v>42000</v>
      </c>
      <c r="I23" s="7" t="n">
        <v>0.18</v>
      </c>
      <c r="J23" s="6">
        <f>G23*H23*I23</f>
        <v/>
      </c>
      <c r="K23" s="6">
        <f>G23*H23+J23</f>
        <v/>
      </c>
      <c r="L23" s="4" t="inlineStr">
        <is>
          <t>Approved</t>
        </is>
      </c>
    </row>
    <row r="24">
      <c r="A24" s="4" t="inlineStr">
        <is>
          <t>PUR-0023</t>
        </is>
      </c>
      <c r="B24" s="4" t="inlineStr">
        <is>
          <t>INV-1007</t>
        </is>
      </c>
      <c r="C24" s="11" t="n">
        <v>46111</v>
      </c>
      <c r="D24" s="4" t="inlineStr">
        <is>
          <t>Apex Enterprises</t>
        </is>
      </c>
      <c r="E24" s="4" t="inlineStr">
        <is>
          <t>ITM-006</t>
        </is>
      </c>
      <c r="F24" s="4" t="inlineStr">
        <is>
          <t>Office Chair</t>
        </is>
      </c>
      <c r="G24" s="4" t="n">
        <v>2</v>
      </c>
      <c r="H24" s="6" t="n">
        <v>6500</v>
      </c>
      <c r="I24" s="7" t="n">
        <v>0.05</v>
      </c>
      <c r="J24" s="6">
        <f>G24*H24*I24</f>
        <v/>
      </c>
      <c r="K24" s="6">
        <f>G24*H24+J24</f>
        <v/>
      </c>
      <c r="L24" s="4" t="inlineStr">
        <is>
          <t>Pending</t>
        </is>
      </c>
    </row>
    <row r="25">
      <c r="A25" s="4" t="inlineStr">
        <is>
          <t>PUR-0024</t>
        </is>
      </c>
      <c r="B25" s="4" t="inlineStr">
        <is>
          <t>INV-1014</t>
        </is>
      </c>
      <c r="C25" s="11" t="n">
        <v>46263</v>
      </c>
      <c r="D25" s="4" t="inlineStr">
        <is>
          <t>City Tech Traders</t>
        </is>
      </c>
      <c r="E25" s="4" t="inlineStr">
        <is>
          <t>ITM-002</t>
        </is>
      </c>
      <c r="F25" s="4" t="inlineStr">
        <is>
          <t>Monitor</t>
        </is>
      </c>
      <c r="G25" s="4" t="n">
        <v>1</v>
      </c>
      <c r="H25" s="6" t="n">
        <v>12500</v>
      </c>
      <c r="I25" s="7" t="n">
        <v>0.12</v>
      </c>
      <c r="J25" s="6">
        <f>G25*H25*I25</f>
        <v/>
      </c>
      <c r="K25" s="6">
        <f>G25*H25+J25</f>
        <v/>
      </c>
      <c r="L25" s="4" t="inlineStr">
        <is>
          <t>Pending</t>
        </is>
      </c>
    </row>
    <row r="26">
      <c r="A26" s="4" t="inlineStr">
        <is>
          <t>PUR-0025</t>
        </is>
      </c>
      <c r="B26" s="4" t="inlineStr">
        <is>
          <t>INV-1009</t>
        </is>
      </c>
      <c r="C26" s="11" t="n">
        <v>46255</v>
      </c>
      <c r="D26" s="4" t="inlineStr">
        <is>
          <t>Northstar Supplies</t>
        </is>
      </c>
      <c r="E26" s="4" t="inlineStr">
        <is>
          <t>ITM-002</t>
        </is>
      </c>
      <c r="F26" s="4" t="inlineStr">
        <is>
          <t>Monitor</t>
        </is>
      </c>
      <c r="G26" s="4" t="n">
        <v>5</v>
      </c>
      <c r="H26" s="6" t="n">
        <v>12500</v>
      </c>
      <c r="I26" s="7" t="n">
        <v>0.18</v>
      </c>
      <c r="J26" s="6">
        <f>G26*H26*I26</f>
        <v/>
      </c>
      <c r="K26" s="6">
        <f>G26*H26+J26</f>
        <v/>
      </c>
      <c r="L26" s="4" t="inlineStr">
        <is>
          <t>Rejected</t>
        </is>
      </c>
    </row>
    <row r="27">
      <c r="A27" s="4" t="inlineStr">
        <is>
          <t>PUR-0026</t>
        </is>
      </c>
      <c r="B27" s="4" t="inlineStr">
        <is>
          <t>INV-1025</t>
        </is>
      </c>
      <c r="C27" s="11" t="n">
        <v>46124</v>
      </c>
      <c r="D27" s="4" t="inlineStr">
        <is>
          <t>Reliable Systems</t>
        </is>
      </c>
      <c r="E27" s="4" t="inlineStr">
        <is>
          <t>ITM-002</t>
        </is>
      </c>
      <c r="F27" s="4" t="inlineStr">
        <is>
          <t>Monitor</t>
        </is>
      </c>
      <c r="G27" s="4" t="n">
        <v>15</v>
      </c>
      <c r="H27" s="6" t="n">
        <v>12500</v>
      </c>
      <c r="I27" s="7" t="n">
        <v>0.12</v>
      </c>
      <c r="J27" s="6">
        <f>G27*H27*I27</f>
        <v/>
      </c>
      <c r="K27" s="6">
        <f>G27*H27+J27</f>
        <v/>
      </c>
      <c r="L27" s="4" t="inlineStr">
        <is>
          <t>Pending</t>
        </is>
      </c>
    </row>
    <row r="28">
      <c r="A28" s="4" t="inlineStr">
        <is>
          <t>PUR-0027</t>
        </is>
      </c>
      <c r="B28" s="4" t="inlineStr">
        <is>
          <t>INV-1004</t>
        </is>
      </c>
      <c r="C28" s="11" t="n">
        <v>46159</v>
      </c>
      <c r="D28" s="4" t="inlineStr">
        <is>
          <t>Prime Office Mart</t>
        </is>
      </c>
      <c r="E28" s="4" t="inlineStr">
        <is>
          <t>ITM-005</t>
        </is>
      </c>
      <c r="F28" s="4" t="inlineStr">
        <is>
          <t>Router</t>
        </is>
      </c>
      <c r="G28" s="4" t="n">
        <v>4</v>
      </c>
      <c r="H28" s="6" t="n">
        <v>3200</v>
      </c>
      <c r="I28" s="7" t="n">
        <v>0.18</v>
      </c>
      <c r="J28" s="6">
        <f>G28*H28*I28</f>
        <v/>
      </c>
      <c r="K28" s="6">
        <f>G28*H28+J28</f>
        <v/>
      </c>
      <c r="L28" s="4" t="inlineStr">
        <is>
          <t>Pending</t>
        </is>
      </c>
    </row>
    <row r="29">
      <c r="A29" s="4" t="inlineStr">
        <is>
          <t>PUR-0028</t>
        </is>
      </c>
      <c r="B29" s="4" t="inlineStr">
        <is>
          <t>INV-1019</t>
        </is>
      </c>
      <c r="C29" s="11" t="n">
        <v>46170</v>
      </c>
      <c r="D29" s="4" t="inlineStr">
        <is>
          <t>Reliable Systems</t>
        </is>
      </c>
      <c r="E29" s="4" t="inlineStr">
        <is>
          <t>ITM-001</t>
        </is>
      </c>
      <c r="F29" s="4" t="inlineStr">
        <is>
          <t>Laptop</t>
        </is>
      </c>
      <c r="G29" s="4" t="n">
        <v>3</v>
      </c>
      <c r="H29" s="6" t="n">
        <v>42000</v>
      </c>
      <c r="I29" s="7" t="n">
        <v>0.12</v>
      </c>
      <c r="J29" s="6">
        <f>G29*H29*I29</f>
        <v/>
      </c>
      <c r="K29" s="6">
        <f>G29*H29+J29</f>
        <v/>
      </c>
      <c r="L29" s="4" t="inlineStr">
        <is>
          <t>Pending</t>
        </is>
      </c>
    </row>
    <row r="30">
      <c r="A30" s="4" t="inlineStr">
        <is>
          <t>PUR-0029</t>
        </is>
      </c>
      <c r="B30" s="4" t="inlineStr">
        <is>
          <t>INV-1022</t>
        </is>
      </c>
      <c r="C30" s="11" t="n">
        <v>46229</v>
      </c>
      <c r="D30" s="4" t="inlineStr">
        <is>
          <t>City Tech Traders</t>
        </is>
      </c>
      <c r="E30" s="4" t="inlineStr">
        <is>
          <t>ITM-004</t>
        </is>
      </c>
      <c r="F30" s="4" t="inlineStr">
        <is>
          <t>Printer</t>
        </is>
      </c>
      <c r="G30" s="4" t="n">
        <v>12</v>
      </c>
      <c r="H30" s="6" t="n">
        <v>14500</v>
      </c>
      <c r="I30" s="7" t="n">
        <v>0.12</v>
      </c>
      <c r="J30" s="6">
        <f>G30*H30*I30</f>
        <v/>
      </c>
      <c r="K30" s="6">
        <f>G30*H30+J30</f>
        <v/>
      </c>
      <c r="L30" s="4" t="inlineStr">
        <is>
          <t>Rejected</t>
        </is>
      </c>
    </row>
    <row r="31">
      <c r="A31" s="4" t="inlineStr">
        <is>
          <t>PUR-0030</t>
        </is>
      </c>
      <c r="B31" s="4" t="inlineStr">
        <is>
          <t>INV-1002</t>
        </is>
      </c>
      <c r="C31" s="11" t="n">
        <v>46043</v>
      </c>
      <c r="D31" s="4" t="inlineStr">
        <is>
          <t>Reliable Systems</t>
        </is>
      </c>
      <c r="E31" s="4" t="inlineStr">
        <is>
          <t>ITM-005</t>
        </is>
      </c>
      <c r="F31" s="4" t="inlineStr">
        <is>
          <t>Router</t>
        </is>
      </c>
      <c r="G31" s="4" t="n">
        <v>8</v>
      </c>
      <c r="H31" s="6" t="n">
        <v>3200</v>
      </c>
      <c r="I31" s="7" t="n">
        <v>0.12</v>
      </c>
      <c r="J31" s="6">
        <f>G31*H31*I31</f>
        <v/>
      </c>
      <c r="K31" s="6">
        <f>G31*H31+J31</f>
        <v/>
      </c>
      <c r="L31" s="4" t="inlineStr">
        <is>
          <t>Rejected</t>
        </is>
      </c>
    </row>
    <row r="32">
      <c r="A32" s="4" t="inlineStr">
        <is>
          <t>PUR-0031</t>
        </is>
      </c>
      <c r="B32" s="4" t="inlineStr">
        <is>
          <t>INV-1000</t>
        </is>
      </c>
      <c r="C32" s="11" t="n">
        <v>46069</v>
      </c>
      <c r="D32" s="4" t="inlineStr">
        <is>
          <t>Prime Office Mart</t>
        </is>
      </c>
      <c r="E32" s="4" t="inlineStr">
        <is>
          <t>ITM-003</t>
        </is>
      </c>
      <c r="F32" s="4" t="inlineStr">
        <is>
          <t>Keyboard</t>
        </is>
      </c>
      <c r="G32" s="4" t="n">
        <v>10</v>
      </c>
      <c r="H32" s="6" t="n">
        <v>900</v>
      </c>
      <c r="I32" s="7" t="n">
        <v>0.12</v>
      </c>
      <c r="J32" s="6">
        <f>G32*H32*I32</f>
        <v/>
      </c>
      <c r="K32" s="6">
        <f>G32*H32+J32</f>
        <v/>
      </c>
      <c r="L32" s="4" t="inlineStr">
        <is>
          <t>Rejected</t>
        </is>
      </c>
    </row>
    <row r="33">
      <c r="A33" s="4" t="inlineStr">
        <is>
          <t>PUR-0032</t>
        </is>
      </c>
      <c r="B33" s="4" t="inlineStr">
        <is>
          <t>INV-1024</t>
        </is>
      </c>
      <c r="C33" s="11" t="n">
        <v>46160</v>
      </c>
      <c r="D33" s="4" t="inlineStr">
        <is>
          <t>Apex Enterprises</t>
        </is>
      </c>
      <c r="E33" s="4" t="inlineStr">
        <is>
          <t>ITM-005</t>
        </is>
      </c>
      <c r="F33" s="4" t="inlineStr">
        <is>
          <t>Router</t>
        </is>
      </c>
      <c r="G33" s="4" t="n">
        <v>10</v>
      </c>
      <c r="H33" s="6" t="n">
        <v>3200</v>
      </c>
      <c r="I33" s="7" t="n">
        <v>0.05</v>
      </c>
      <c r="J33" s="6">
        <f>G33*H33*I33</f>
        <v/>
      </c>
      <c r="K33" s="6">
        <f>G33*H33+J33</f>
        <v/>
      </c>
      <c r="L33" s="4" t="inlineStr">
        <is>
          <t>Pending</t>
        </is>
      </c>
    </row>
    <row r="34">
      <c r="A34" s="4" t="inlineStr">
        <is>
          <t>PUR-0033</t>
        </is>
      </c>
      <c r="B34" s="4" t="inlineStr">
        <is>
          <t>INV-1020</t>
        </is>
      </c>
      <c r="C34" s="11" t="n">
        <v>46249</v>
      </c>
      <c r="D34" s="4" t="inlineStr">
        <is>
          <t>City Tech Traders</t>
        </is>
      </c>
      <c r="E34" s="4" t="inlineStr">
        <is>
          <t>ITM-002</t>
        </is>
      </c>
      <c r="F34" s="4" t="inlineStr">
        <is>
          <t>Monitor</t>
        </is>
      </c>
      <c r="G34" s="4" t="n">
        <v>8</v>
      </c>
      <c r="H34" s="6" t="n">
        <v>12500</v>
      </c>
      <c r="I34" s="7" t="n">
        <v>0.18</v>
      </c>
      <c r="J34" s="6">
        <f>G34*H34*I34</f>
        <v/>
      </c>
      <c r="K34" s="6">
        <f>G34*H34+J34</f>
        <v/>
      </c>
      <c r="L34" s="4" t="inlineStr">
        <is>
          <t>Pending</t>
        </is>
      </c>
    </row>
    <row r="35">
      <c r="A35" s="4" t="inlineStr">
        <is>
          <t>PUR-0034</t>
        </is>
      </c>
      <c r="B35" s="4" t="inlineStr">
        <is>
          <t>INV-1026</t>
        </is>
      </c>
      <c r="C35" s="11" t="n">
        <v>46274</v>
      </c>
      <c r="D35" s="4" t="inlineStr">
        <is>
          <t>Northstar Supplies</t>
        </is>
      </c>
      <c r="E35" s="4" t="inlineStr">
        <is>
          <t>ITM-005</t>
        </is>
      </c>
      <c r="F35" s="4" t="inlineStr">
        <is>
          <t>Router</t>
        </is>
      </c>
      <c r="G35" s="4" t="n">
        <v>7</v>
      </c>
      <c r="H35" s="6" t="n">
        <v>3200</v>
      </c>
      <c r="I35" s="7" t="n">
        <v>0.18</v>
      </c>
      <c r="J35" s="6">
        <f>G35*H35*I35</f>
        <v/>
      </c>
      <c r="K35" s="6">
        <f>G35*H35+J35</f>
        <v/>
      </c>
      <c r="L35" s="4" t="inlineStr">
        <is>
          <t>Approved</t>
        </is>
      </c>
    </row>
    <row r="36">
      <c r="A36" s="4" t="inlineStr">
        <is>
          <t>PUR-0035</t>
        </is>
      </c>
      <c r="B36" s="4" t="inlineStr">
        <is>
          <t>INV-1010</t>
        </is>
      </c>
      <c r="C36" s="11" t="n">
        <v>46076</v>
      </c>
      <c r="D36" s="4" t="inlineStr">
        <is>
          <t>Prime Office Mart</t>
        </is>
      </c>
      <c r="E36" s="4" t="inlineStr">
        <is>
          <t>ITM-003</t>
        </is>
      </c>
      <c r="F36" s="4" t="inlineStr">
        <is>
          <t>Keyboard</t>
        </is>
      </c>
      <c r="G36" s="4" t="n">
        <v>7</v>
      </c>
      <c r="H36" s="6" t="n">
        <v>900</v>
      </c>
      <c r="I36" s="7" t="n">
        <v>0.12</v>
      </c>
      <c r="J36" s="6">
        <f>G36*H36*I36</f>
        <v/>
      </c>
      <c r="K36" s="6">
        <f>G36*H36+J36</f>
        <v/>
      </c>
      <c r="L36" s="4" t="inlineStr">
        <is>
          <t>Approved</t>
        </is>
      </c>
    </row>
    <row r="37">
      <c r="A37" s="4" t="inlineStr">
        <is>
          <t>PUR-0036</t>
        </is>
      </c>
      <c r="B37" s="4" t="inlineStr">
        <is>
          <t>INV-1009</t>
        </is>
      </c>
      <c r="C37" s="11" t="n">
        <v>46228</v>
      </c>
      <c r="D37" s="4" t="inlineStr">
        <is>
          <t>Apex Enterprises</t>
        </is>
      </c>
      <c r="E37" s="4" t="inlineStr">
        <is>
          <t>ITM-004</t>
        </is>
      </c>
      <c r="F37" s="4" t="inlineStr">
        <is>
          <t>Printer</t>
        </is>
      </c>
      <c r="G37" s="4" t="n">
        <v>12</v>
      </c>
      <c r="H37" s="6" t="n">
        <v>14500</v>
      </c>
      <c r="I37" s="7" t="n">
        <v>0.12</v>
      </c>
      <c r="J37" s="6">
        <f>G37*H37*I37</f>
        <v/>
      </c>
      <c r="K37" s="6">
        <f>G37*H37+J37</f>
        <v/>
      </c>
      <c r="L37" s="4" t="inlineStr">
        <is>
          <t>Pending</t>
        </is>
      </c>
    </row>
    <row r="38">
      <c r="A38" s="4" t="inlineStr">
        <is>
          <t>PUR-0037</t>
        </is>
      </c>
      <c r="B38" s="4" t="inlineStr">
        <is>
          <t>INV-1008</t>
        </is>
      </c>
      <c r="C38" s="11" t="n">
        <v>46188</v>
      </c>
      <c r="D38" s="4" t="inlineStr">
        <is>
          <t>Northstar Supplies</t>
        </is>
      </c>
      <c r="E38" s="4" t="inlineStr">
        <is>
          <t>ITM-004</t>
        </is>
      </c>
      <c r="F38" s="4" t="inlineStr">
        <is>
          <t>Printer</t>
        </is>
      </c>
      <c r="G38" s="4" t="n">
        <v>2</v>
      </c>
      <c r="H38" s="6" t="n">
        <v>14500</v>
      </c>
      <c r="I38" s="7" t="n">
        <v>0.12</v>
      </c>
      <c r="J38" s="6">
        <f>G38*H38*I38</f>
        <v/>
      </c>
      <c r="K38" s="6">
        <f>G38*H38+J38</f>
        <v/>
      </c>
      <c r="L38" s="4" t="inlineStr">
        <is>
          <t>Approved</t>
        </is>
      </c>
    </row>
    <row r="39">
      <c r="A39" s="4" t="inlineStr">
        <is>
          <t>PUR-0038</t>
        </is>
      </c>
      <c r="B39" s="4" t="inlineStr">
        <is>
          <t>INV-1021</t>
        </is>
      </c>
      <c r="C39" s="11" t="n">
        <v>46300</v>
      </c>
      <c r="D39" s="4" t="inlineStr">
        <is>
          <t>Reliable Systems</t>
        </is>
      </c>
      <c r="E39" s="4" t="inlineStr">
        <is>
          <t>ITM-005</t>
        </is>
      </c>
      <c r="F39" s="4" t="inlineStr">
        <is>
          <t>Router</t>
        </is>
      </c>
      <c r="G39" s="4" t="n">
        <v>14</v>
      </c>
      <c r="H39" s="6" t="n">
        <v>3200</v>
      </c>
      <c r="I39" s="7" t="n">
        <v>0.05</v>
      </c>
      <c r="J39" s="6">
        <f>G39*H39*I39</f>
        <v/>
      </c>
      <c r="K39" s="6">
        <f>G39*H39+J39</f>
        <v/>
      </c>
      <c r="L39" s="4" t="inlineStr">
        <is>
          <t>Approved</t>
        </is>
      </c>
    </row>
    <row r="40">
      <c r="A40" s="4" t="inlineStr">
        <is>
          <t>PUR-0039</t>
        </is>
      </c>
      <c r="B40" s="4" t="inlineStr">
        <is>
          <t>INV-1011</t>
        </is>
      </c>
      <c r="C40" s="11" t="n">
        <v>46278</v>
      </c>
      <c r="D40" s="4" t="inlineStr">
        <is>
          <t>Reliable Systems</t>
        </is>
      </c>
      <c r="E40" s="4" t="inlineStr">
        <is>
          <t>ITM-001</t>
        </is>
      </c>
      <c r="F40" s="4" t="inlineStr">
        <is>
          <t>Laptop</t>
        </is>
      </c>
      <c r="G40" s="4" t="n">
        <v>4</v>
      </c>
      <c r="H40" s="6" t="n">
        <v>42000</v>
      </c>
      <c r="I40" s="7" t="n">
        <v>0.18</v>
      </c>
      <c r="J40" s="6">
        <f>G40*H40*I40</f>
        <v/>
      </c>
      <c r="K40" s="6">
        <f>G40*H40+J40</f>
        <v/>
      </c>
      <c r="L40" s="4" t="inlineStr">
        <is>
          <t>Pending</t>
        </is>
      </c>
    </row>
    <row r="41">
      <c r="A41" s="4" t="inlineStr">
        <is>
          <t>PUR-0040</t>
        </is>
      </c>
      <c r="B41" s="4" t="inlineStr">
        <is>
          <t>INV-1004</t>
        </is>
      </c>
      <c r="C41" s="11" t="n">
        <v>46170</v>
      </c>
      <c r="D41" s="4" t="inlineStr">
        <is>
          <t>Reliable Systems</t>
        </is>
      </c>
      <c r="E41" s="4" t="inlineStr">
        <is>
          <t>ITM-002</t>
        </is>
      </c>
      <c r="F41" s="4" t="inlineStr">
        <is>
          <t>Monitor</t>
        </is>
      </c>
      <c r="G41" s="4" t="n">
        <v>5</v>
      </c>
      <c r="H41" s="6" t="n">
        <v>12500</v>
      </c>
      <c r="I41" s="7" t="n">
        <v>0.18</v>
      </c>
      <c r="J41" s="6">
        <f>G41*H41*I41</f>
        <v/>
      </c>
      <c r="K41" s="6">
        <f>G41*H41+J41</f>
        <v/>
      </c>
      <c r="L41" s="4" t="inlineStr">
        <is>
          <t>Rejected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min="1" max="1"/>
    <col width="14" customWidth="1" min="2" max="2"/>
    <col width="15" customWidth="1" min="3" max="3"/>
    <col width="12" customWidth="1" min="4" max="5"/>
    <col width="15" customWidth="1" min="6" max="7"/>
    <col width="14" customWidth="1" min="8" max="8"/>
    <col width="23" customWidth="1" min="9" max="9"/>
  </cols>
  <sheetData>
    <row r="1" ht="30" customHeight="1">
      <c r="A1" s="2" t="inlineStr">
        <is>
          <t>Item Code</t>
        </is>
      </c>
      <c r="B1" s="2" t="inlineStr">
        <is>
          <t>Item Name</t>
        </is>
      </c>
      <c r="C1" s="2" t="inlineStr">
        <is>
          <t>Opening Stock</t>
        </is>
      </c>
      <c r="D1" s="2" t="inlineStr">
        <is>
          <t>Received</t>
        </is>
      </c>
      <c r="E1" s="2" t="inlineStr">
        <is>
          <t>Issued</t>
        </is>
      </c>
      <c r="F1" s="2" t="inlineStr">
        <is>
          <t>Closing Stock</t>
        </is>
      </c>
      <c r="G1" s="2" t="inlineStr">
        <is>
          <t>Reorder Level</t>
        </is>
      </c>
      <c r="H1" s="2" t="inlineStr">
        <is>
          <t>Target Stock</t>
        </is>
      </c>
      <c r="I1" s="2" t="inlineStr">
        <is>
          <t>Suggested Reorder Qty</t>
        </is>
      </c>
    </row>
    <row r="2">
      <c r="A2" s="4" t="inlineStr">
        <is>
          <t>ITM-001</t>
        </is>
      </c>
      <c r="B2" s="4" t="inlineStr">
        <is>
          <t>Laptop</t>
        </is>
      </c>
      <c r="C2" s="4" t="n">
        <v>62</v>
      </c>
      <c r="D2" s="4" t="n">
        <v>15</v>
      </c>
      <c r="E2" s="4" t="n">
        <v>3</v>
      </c>
      <c r="F2" s="4">
        <f>C2+D2-E2</f>
        <v/>
      </c>
      <c r="G2" s="4" t="n">
        <v>35</v>
      </c>
      <c r="H2" s="4" t="n">
        <v>95</v>
      </c>
      <c r="I2" s="4">
        <f>MAX(0,H2-F2)</f>
        <v/>
      </c>
    </row>
    <row r="3">
      <c r="A3" s="4" t="inlineStr">
        <is>
          <t>ITM-002</t>
        </is>
      </c>
      <c r="B3" s="4" t="inlineStr">
        <is>
          <t>Monitor</t>
        </is>
      </c>
      <c r="C3" s="4" t="n">
        <v>90</v>
      </c>
      <c r="D3" s="4" t="n">
        <v>20</v>
      </c>
      <c r="E3" s="4" t="n">
        <v>39</v>
      </c>
      <c r="F3" s="4">
        <f>C3+D3-E3</f>
        <v/>
      </c>
      <c r="G3" s="4" t="n">
        <v>32</v>
      </c>
      <c r="H3" s="4" t="n">
        <v>63</v>
      </c>
      <c r="I3" s="4">
        <f>MAX(0,H3-F3)</f>
        <v/>
      </c>
    </row>
    <row r="4">
      <c r="A4" s="4" t="inlineStr">
        <is>
          <t>ITM-003</t>
        </is>
      </c>
      <c r="B4" s="4" t="inlineStr">
        <is>
          <t>Keyboard</t>
        </is>
      </c>
      <c r="C4" s="4" t="n">
        <v>70</v>
      </c>
      <c r="D4" s="4" t="n">
        <v>52</v>
      </c>
      <c r="E4" s="4" t="n">
        <v>11</v>
      </c>
      <c r="F4" s="4">
        <f>C4+D4-E4</f>
        <v/>
      </c>
      <c r="G4" s="4" t="n">
        <v>22</v>
      </c>
      <c r="H4" s="4" t="n">
        <v>66</v>
      </c>
      <c r="I4" s="4">
        <f>MAX(0,H4-F4)</f>
        <v/>
      </c>
    </row>
    <row r="5">
      <c r="A5" s="4" t="inlineStr">
        <is>
          <t>ITM-004</t>
        </is>
      </c>
      <c r="B5" s="4" t="inlineStr">
        <is>
          <t>Printer</t>
        </is>
      </c>
      <c r="C5" s="4" t="n">
        <v>59</v>
      </c>
      <c r="D5" s="4" t="n">
        <v>15</v>
      </c>
      <c r="E5" s="4" t="n">
        <v>82</v>
      </c>
      <c r="F5" s="4">
        <f>C5+D5-E5</f>
        <v/>
      </c>
      <c r="G5" s="4" t="n">
        <v>41</v>
      </c>
      <c r="H5" s="4" t="n">
        <v>90</v>
      </c>
      <c r="I5" s="4">
        <f>MAX(0,H5-F5)</f>
        <v/>
      </c>
    </row>
    <row r="6">
      <c r="A6" s="4" t="inlineStr">
        <is>
          <t>ITM-005</t>
        </is>
      </c>
      <c r="B6" s="4" t="inlineStr">
        <is>
          <t>Router</t>
        </is>
      </c>
      <c r="C6" s="4" t="n">
        <v>63</v>
      </c>
      <c r="D6" s="4" t="n">
        <v>37</v>
      </c>
      <c r="E6" s="4" t="n">
        <v>65</v>
      </c>
      <c r="F6" s="4">
        <f>C6+D6-E6</f>
        <v/>
      </c>
      <c r="G6" s="4" t="n">
        <v>37</v>
      </c>
      <c r="H6" s="4" t="n">
        <v>101</v>
      </c>
      <c r="I6" s="4">
        <f>MAX(0,H6-F6)</f>
        <v/>
      </c>
    </row>
    <row r="7">
      <c r="A7" s="4" t="inlineStr">
        <is>
          <t>ITM-006</t>
        </is>
      </c>
      <c r="B7" s="4" t="inlineStr">
        <is>
          <t>Office Chair</t>
        </is>
      </c>
      <c r="C7" s="4" t="n">
        <v>53</v>
      </c>
      <c r="D7" s="4" t="n">
        <v>61</v>
      </c>
      <c r="E7" s="4" t="n">
        <v>60</v>
      </c>
      <c r="F7" s="4">
        <f>C7+D7-E7</f>
        <v/>
      </c>
      <c r="G7" s="4" t="n">
        <v>22</v>
      </c>
      <c r="H7" s="4" t="n">
        <v>110</v>
      </c>
      <c r="I7" s="4">
        <f>MAX(0,H7-F7)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min="1" max="1"/>
    <col width="16" customWidth="1" min="2" max="2"/>
    <col width="14" customWidth="1" min="3" max="3"/>
    <col width="26" customWidth="1" min="4" max="4"/>
    <col width="12" customWidth="1" min="5" max="5"/>
    <col width="13" customWidth="1" min="6" max="6"/>
  </cols>
  <sheetData>
    <row r="1" ht="30" customHeight="1">
      <c r="A1" s="2" t="inlineStr">
        <is>
          <t>Record ID</t>
        </is>
      </c>
      <c r="B1" s="2" t="inlineStr">
        <is>
          <t>Employee Name</t>
        </is>
      </c>
      <c r="C1" s="2" t="inlineStr">
        <is>
          <t>Department</t>
        </is>
      </c>
      <c r="D1" s="2" t="inlineStr">
        <is>
          <t>Email</t>
        </is>
      </c>
      <c r="E1" s="2" t="inlineStr">
        <is>
          <t>City</t>
        </is>
      </c>
      <c r="F1" s="2" t="inlineStr">
        <is>
          <t>Invoice No.</t>
        </is>
      </c>
    </row>
    <row r="2">
      <c r="A2" s="4" t="n">
        <v>1</v>
      </c>
      <c r="B2" s="4" t="inlineStr">
        <is>
          <t>Amit Sharma</t>
        </is>
      </c>
      <c r="C2" s="4" t="inlineStr">
        <is>
          <t>finance</t>
        </is>
      </c>
      <c r="D2" s="4" t="inlineStr">
        <is>
          <t>amit.sharma@example.com</t>
        </is>
      </c>
      <c r="E2" s="4" t="inlineStr">
        <is>
          <t>Ludhiana</t>
        </is>
      </c>
      <c r="F2" s="4" t="inlineStr">
        <is>
          <t>INV-1001</t>
        </is>
      </c>
    </row>
    <row r="3">
      <c r="A3" s="4" t="n">
        <v>2</v>
      </c>
      <c r="B3" s="4" t="inlineStr">
        <is>
          <t>Neha Kaur</t>
        </is>
      </c>
      <c r="C3" s="4" t="inlineStr">
        <is>
          <t>HR</t>
        </is>
      </c>
      <c r="D3" s="4" t="inlineStr">
        <is>
          <t>neha.kaur@example.com</t>
        </is>
      </c>
      <c r="E3" s="4" t="inlineStr">
        <is>
          <t>Chandigarh</t>
        </is>
      </c>
      <c r="F3" s="4" t="inlineStr">
        <is>
          <t>INV-1002</t>
        </is>
      </c>
    </row>
    <row r="4">
      <c r="A4" s="4" t="n">
        <v>3</v>
      </c>
      <c r="B4" s="4" t="inlineStr">
        <is>
          <t>Ravi Verma</t>
        </is>
      </c>
      <c r="C4" s="4" t="inlineStr">
        <is>
          <t>IT</t>
        </is>
      </c>
      <c r="D4" s="4" t="inlineStr">
        <is>
          <t>ravi.verma@example.com</t>
        </is>
      </c>
      <c r="E4" s="4" t="inlineStr">
        <is>
          <t>Panchkula</t>
        </is>
      </c>
      <c r="F4" s="4" t="inlineStr">
        <is>
          <t>INV-1003</t>
        </is>
      </c>
    </row>
    <row r="5">
      <c r="A5" s="4" t="n">
        <v>4</v>
      </c>
      <c r="B5" s="4" t="inlineStr">
        <is>
          <t>Priya Singh</t>
        </is>
      </c>
      <c r="C5" s="4" t="inlineStr">
        <is>
          <t>Sales</t>
        </is>
      </c>
      <c r="D5" s="4" t="inlineStr">
        <is>
          <t>priya.singh@example.com</t>
        </is>
      </c>
      <c r="E5" s="4" t="inlineStr">
        <is>
          <t>Delhi</t>
        </is>
      </c>
      <c r="F5" s="4" t="inlineStr">
        <is>
          <t>INV-1004</t>
        </is>
      </c>
    </row>
    <row r="6">
      <c r="A6" s="4" t="n">
        <v>5</v>
      </c>
      <c r="B6" s="4" t="inlineStr">
        <is>
          <t>Amit Sharma</t>
        </is>
      </c>
      <c r="C6" s="4" t="inlineStr">
        <is>
          <t>Finance</t>
        </is>
      </c>
      <c r="D6" s="4" t="inlineStr">
        <is>
          <t>amit.sharma@example.com</t>
        </is>
      </c>
      <c r="E6" s="4" t="inlineStr">
        <is>
          <t>Ludhiana</t>
        </is>
      </c>
      <c r="F6" s="4" t="inlineStr">
        <is>
          <t>INV-1001</t>
        </is>
      </c>
    </row>
    <row r="7">
      <c r="A7" s="4" t="n">
        <v>6</v>
      </c>
      <c r="B7" s="4" t="inlineStr">
        <is>
          <t>Karan Gupta</t>
        </is>
      </c>
      <c r="C7" s="4" t="inlineStr">
        <is>
          <t>operations</t>
        </is>
      </c>
      <c r="D7" s="4" t="inlineStr">
        <is>
          <t>karan.gupta@example.com</t>
        </is>
      </c>
      <c r="E7" s="4" t="inlineStr">
        <is>
          <t>Delhi</t>
        </is>
      </c>
      <c r="F7" s="4" t="inlineStr">
        <is>
          <t>INV-1005</t>
        </is>
      </c>
    </row>
    <row r="8">
      <c r="A8" s="4" t="n">
        <v>7</v>
      </c>
      <c r="B8" s="4" t="inlineStr">
        <is>
          <t>Meera Joshi</t>
        </is>
      </c>
      <c r="C8" s="4" t="inlineStr">
        <is>
          <t>Procurement</t>
        </is>
      </c>
      <c r="D8" s="4" t="inlineStr">
        <is>
          <t>meera.joshi@example.com</t>
        </is>
      </c>
      <c r="E8" s="4" t="inlineStr">
        <is>
          <t>Chandigarh</t>
        </is>
      </c>
      <c r="F8" s="4" t="inlineStr">
        <is>
          <t>INV-1006</t>
        </is>
      </c>
    </row>
    <row r="9">
      <c r="A9" s="4" t="n">
        <v>8</v>
      </c>
      <c r="B9" s="4" t="inlineStr">
        <is>
          <t>Rohan Malik</t>
        </is>
      </c>
      <c r="C9" s="4" t="inlineStr">
        <is>
          <t>sales</t>
        </is>
      </c>
      <c r="D9" s="4" t="inlineStr">
        <is>
          <t>rohan.malik@example.com</t>
        </is>
      </c>
      <c r="E9" s="4" t="inlineStr">
        <is>
          <t>Ludhiana</t>
        </is>
      </c>
      <c r="F9" s="4" t="inlineStr">
        <is>
          <t>INV-1007</t>
        </is>
      </c>
    </row>
    <row r="10">
      <c r="A10" s="4" t="n">
        <v>9</v>
      </c>
      <c r="B10" s="4" t="inlineStr">
        <is>
          <t>Sara Mehta</t>
        </is>
      </c>
      <c r="C10" s="4" t="inlineStr">
        <is>
          <t>IT</t>
        </is>
      </c>
      <c r="D10" s="4" t="inlineStr">
        <is>
          <t>sara.mehta@example.com</t>
        </is>
      </c>
      <c r="E10" s="4" t="inlineStr">
        <is>
          <t>Panchkula</t>
        </is>
      </c>
      <c r="F10" s="4" t="inlineStr">
        <is>
          <t>INV-1008</t>
        </is>
      </c>
    </row>
    <row r="11">
      <c r="A11" s="4" t="n">
        <v>10</v>
      </c>
      <c r="B11" s="4" t="inlineStr">
        <is>
          <t>Dev Bansal</t>
        </is>
      </c>
      <c r="C11" s="4" t="inlineStr">
        <is>
          <t>Finance</t>
        </is>
      </c>
      <c r="D11" s="4" t="inlineStr">
        <is>
          <t>dev.bansal@example.com</t>
        </is>
      </c>
      <c r="E11" s="4" t="inlineStr">
        <is>
          <t>Delhi</t>
        </is>
      </c>
      <c r="F11" s="4" t="inlineStr">
        <is>
          <t>INV-1009</t>
        </is>
      </c>
    </row>
    <row r="12">
      <c r="A12" s="4" t="n">
        <v>11</v>
      </c>
      <c r="B12" s="4" t="inlineStr">
        <is>
          <t>Neha Kaur</t>
        </is>
      </c>
      <c r="C12" s="4" t="inlineStr">
        <is>
          <t>HR</t>
        </is>
      </c>
      <c r="D12" s="4" t="inlineStr">
        <is>
          <t>neha.kaur@example.com</t>
        </is>
      </c>
      <c r="E12" s="4" t="inlineStr">
        <is>
          <t>Chandigarh</t>
        </is>
      </c>
      <c r="F12" s="4" t="inlineStr">
        <is>
          <t>INV-1002</t>
        </is>
      </c>
    </row>
    <row r="13">
      <c r="A13" s="4" t="n">
        <v>12</v>
      </c>
      <c r="B13" s="4" t="inlineStr">
        <is>
          <t>Tanya Rana</t>
        </is>
      </c>
      <c r="C13" s="4" t="inlineStr">
        <is>
          <t>Sales</t>
        </is>
      </c>
      <c r="D13" s="4" t="inlineStr">
        <is>
          <t>tanya.rana@example.com</t>
        </is>
      </c>
      <c r="E13" s="4" t="inlineStr">
        <is>
          <t>Ludhiana</t>
        </is>
      </c>
      <c r="F13" s="4" t="inlineStr">
        <is>
          <t>INV-1010</t>
        </is>
      </c>
    </row>
    <row r="14">
      <c r="A14" s="4" t="n">
        <v>13</v>
      </c>
      <c r="B14" s="4" t="inlineStr">
        <is>
          <t>Nikhil Joshi</t>
        </is>
      </c>
      <c r="C14" s="4" t="inlineStr">
        <is>
          <t>Operations</t>
        </is>
      </c>
      <c r="D14" s="4" t="inlineStr">
        <is>
          <t>nikhil.joshi@example.com</t>
        </is>
      </c>
      <c r="E14" s="4" t="inlineStr">
        <is>
          <t>Panchkula</t>
        </is>
      </c>
      <c r="F14" s="4" t="inlineStr">
        <is>
          <t>INV-1011</t>
        </is>
      </c>
    </row>
    <row r="15">
      <c r="A15" s="4" t="n">
        <v>14</v>
      </c>
      <c r="B15" s="4" t="inlineStr">
        <is>
          <t>Pooja Malik</t>
        </is>
      </c>
      <c r="C15" s="4" t="inlineStr">
        <is>
          <t>procurement</t>
        </is>
      </c>
      <c r="D15" s="4" t="inlineStr">
        <is>
          <t>pooja.malik@example.com</t>
        </is>
      </c>
      <c r="E15" s="4" t="inlineStr">
        <is>
          <t>Delhi</t>
        </is>
      </c>
      <c r="F15" s="4" t="inlineStr">
        <is>
          <t>INV-1012</t>
        </is>
      </c>
    </row>
    <row r="16">
      <c r="A16" s="4" t="n">
        <v>15</v>
      </c>
      <c r="B16" s="4" t="inlineStr">
        <is>
          <t>Isha Verma</t>
        </is>
      </c>
      <c r="C16" s="4" t="inlineStr">
        <is>
          <t>Finance</t>
        </is>
      </c>
      <c r="D16" s="4" t="inlineStr">
        <is>
          <t>isha.verma@example.com</t>
        </is>
      </c>
      <c r="E16" s="4" t="inlineStr">
        <is>
          <t>Chandigarh</t>
        </is>
      </c>
      <c r="F16" s="4" t="inlineStr">
        <is>
          <t>INV-1013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What</t>
        </is>
      </c>
      <c r="B1" t="inlineStr">
        <is>
          <t>Sheet</t>
        </is>
      </c>
      <c r="C1" t="inlineStr">
        <is>
          <t>Cell</t>
        </is>
      </c>
      <c r="D1" t="inlineStr">
        <is>
          <t>Before</t>
        </is>
      </c>
      <c r="E1" t="inlineStr">
        <is>
          <t>After</t>
        </is>
      </c>
    </row>
    <row r="2">
      <c r="A2" t="inlineStr">
        <is>
          <t>trim_spaces</t>
        </is>
      </c>
      <c r="B2" t="inlineStr">
        <is>
          <t>Messy Data</t>
        </is>
      </c>
      <c r="C2" t="inlineStr">
        <is>
          <t>B2</t>
        </is>
      </c>
      <c r="D2" t="inlineStr">
        <is>
          <t xml:space="preserve">  Amit Sharma </t>
        </is>
      </c>
      <c r="E2" t="inlineStr">
        <is>
          <t>Amit Sharma</t>
        </is>
      </c>
    </row>
    <row r="3">
      <c r="A3" t="inlineStr">
        <is>
          <t>trim_spaces</t>
        </is>
      </c>
      <c r="B3" t="inlineStr">
        <is>
          <t>Messy Data</t>
        </is>
      </c>
      <c r="C3" t="inlineStr">
        <is>
          <t>C3</t>
        </is>
      </c>
      <c r="D3" t="inlineStr">
        <is>
          <t xml:space="preserve">HR </t>
        </is>
      </c>
      <c r="E3" t="inlineStr">
        <is>
          <t>HR</t>
        </is>
      </c>
    </row>
    <row r="4">
      <c r="A4" t="inlineStr">
        <is>
          <t>trim_spaces</t>
        </is>
      </c>
      <c r="B4" t="inlineStr">
        <is>
          <t>Messy Data</t>
        </is>
      </c>
      <c r="C4" t="inlineStr">
        <is>
          <t>B5</t>
        </is>
      </c>
      <c r="D4" t="inlineStr">
        <is>
          <t xml:space="preserve">  Priya Singh</t>
        </is>
      </c>
      <c r="E4" t="inlineStr">
        <is>
          <t>Priya Singh</t>
        </is>
      </c>
    </row>
    <row r="5">
      <c r="A5" t="inlineStr">
        <is>
          <t>trim_spaces</t>
        </is>
      </c>
      <c r="B5" t="inlineStr">
        <is>
          <t>Messy Data</t>
        </is>
      </c>
      <c r="C5" t="inlineStr">
        <is>
          <t>C8</t>
        </is>
      </c>
      <c r="D5" t="inlineStr">
        <is>
          <t xml:space="preserve">Procurement </t>
        </is>
      </c>
      <c r="E5" t="inlineStr">
        <is>
          <t>Procurement</t>
        </is>
      </c>
    </row>
    <row r="6">
      <c r="A6" t="inlineStr">
        <is>
          <t>trim_spaces</t>
        </is>
      </c>
      <c r="B6" t="inlineStr">
        <is>
          <t>Messy Data</t>
        </is>
      </c>
      <c r="C6" t="inlineStr">
        <is>
          <t>C10</t>
        </is>
      </c>
      <c r="D6" t="inlineStr">
        <is>
          <t xml:space="preserve"> IT </t>
        </is>
      </c>
      <c r="E6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2026-10-22T11:48:04Z</dcterms:created>
  <dcterms:modified xsi:type="dcterms:W3CDTF">2026-10-22T12:15:59Z</dcterms:modified>
  <cp:lastModifiedBy>Mohit Rana</cp:lastModifiedBy>
</cp:coreProperties>
</file>